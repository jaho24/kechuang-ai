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F:\0.处理后材料\"/>
    </mc:Choice>
  </mc:AlternateContent>
  <bookViews>
    <workbookView windowWidth="27945" windowHeight="12255" firstSheet="2" activeTab="2"/>
  </bookViews>
  <sheets>
    <sheet name="开发经营性资产档案" sheetId="2" state="hidden" r:id="rId1"/>
    <sheet name="开发经营性资产档案 (2)" sheetId="6" state="hidden" r:id="rId2"/>
    <sheet name="25-26年经营性房产汇总表" sheetId="8" r:id="rId3"/>
  </sheets>
  <definedNames>
    <definedName name="_xlnm._FilterDatabase" localSheetId="2" hidden="1">'25-26年经营性房产汇总表'!$A$3:$G$66</definedName>
    <definedName name="_xlnm._FilterDatabase" localSheetId="0" hidden="1">开发经营性资产档案!$A$2:$O$73</definedName>
    <definedName name="_xlnm._FilterDatabase" localSheetId="1" hidden="1">'开发经营性资产档案 (2)'!$A$2:$L$79</definedName>
    <definedName name="_xlnm.Print_Area" localSheetId="1">'开发经营性资产档案 (2)'!$A$1:$I$79</definedName>
    <definedName name="_xlnm.Print_Titles" localSheetId="1">'开发经营性资产档案 (2)'!$1:$1</definedName>
    <definedName name="_xlnm.Print_Titles" localSheetId="2">'25-26年经营性房产汇总表'!$1:$3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E20" authorId="0">
      <text>
        <r>
          <rPr>
            <b/>
            <sz val="9"/>
            <rFont val="宋体"/>
            <charset val="134"/>
          </rPr>
          <t>港区泰丰公司:</t>
        </r>
        <r>
          <rPr>
            <sz val="9"/>
            <rFont val="宋体"/>
            <charset val="134"/>
          </rPr>
          <t xml:space="preserve">
新增资产</t>
        </r>
      </text>
    </comment>
  </commentList>
</comments>
</file>

<file path=xl/sharedStrings.xml><?xml version="1.0" encoding="utf-8"?>
<sst xmlns="http://schemas.openxmlformats.org/spreadsheetml/2006/main" count="1476" uniqueCount="304">
  <si>
    <t>序号</t>
  </si>
  <si>
    <t>产权单位</t>
  </si>
  <si>
    <t>经营单位</t>
  </si>
  <si>
    <t>项目名称</t>
  </si>
  <si>
    <t>项目类型</t>
  </si>
  <si>
    <t>地址</t>
  </si>
  <si>
    <t>占地面积
（亩）</t>
  </si>
  <si>
    <t>建筑面积
（㎡）</t>
  </si>
  <si>
    <t>房屋数量
（套/间）</t>
  </si>
  <si>
    <t>投用时间
（年/月/日）</t>
  </si>
  <si>
    <t>账面原值
（万元）</t>
  </si>
  <si>
    <t>项目来源</t>
  </si>
  <si>
    <r>
      <rPr>
        <sz val="9"/>
        <color rgb="FF000000"/>
        <rFont val="黑体"/>
        <charset val="134"/>
      </rPr>
      <t xml:space="preserve">产权情况
</t>
    </r>
    <r>
      <rPr>
        <b/>
        <sz val="9"/>
        <color rgb="FF000000"/>
        <rFont val="黑体"/>
        <charset val="134"/>
      </rPr>
      <t>（标黄为已取得产证）</t>
    </r>
  </si>
  <si>
    <t>备注</t>
  </si>
  <si>
    <t>科创集团本部</t>
  </si>
  <si>
    <t>泰丰公司</t>
  </si>
  <si>
    <t>金融广场北楼</t>
  </si>
  <si>
    <t>商业写字楼</t>
  </si>
  <si>
    <t>郑州航空港区华夏大道180号金融广场北座</t>
  </si>
  <si>
    <t>收购</t>
  </si>
  <si>
    <t>已取得房屋不动产权证书</t>
  </si>
  <si>
    <t>2021年11月1日取得所有权并产生收益</t>
  </si>
  <si>
    <t>财富广场</t>
  </si>
  <si>
    <t>郑州航空港区华夏大道与云港路交叉口西北角</t>
  </si>
  <si>
    <t>/</t>
  </si>
  <si>
    <t>科创集团本部小计：</t>
  </si>
  <si>
    <t>城服公司</t>
  </si>
  <si>
    <t>金融广场
（东、西、南楼）</t>
  </si>
  <si>
    <t>郑州航空港区华夏大道180号金融广场东、西、南座</t>
  </si>
  <si>
    <t>与金融广场北楼同属一个项目</t>
  </si>
  <si>
    <t>划转</t>
  </si>
  <si>
    <t>抵债</t>
  </si>
  <si>
    <t>河南航空大厦</t>
  </si>
  <si>
    <t>郑州航空港区迎宾路南侧</t>
  </si>
  <si>
    <t>招商服务中心</t>
  </si>
  <si>
    <t>郑州航空港区迎宾路北侧</t>
  </si>
  <si>
    <t>拟拆迁</t>
  </si>
  <si>
    <t>管委会老院
（群众来访接待中心）</t>
  </si>
  <si>
    <t>郑州航空港区华夏大道西侧金港大道北侧</t>
  </si>
  <si>
    <t>自建</t>
  </si>
  <si>
    <t>无任何手续</t>
  </si>
  <si>
    <t>管委会老院
（老管委会餐厅）</t>
  </si>
  <si>
    <t>2013年</t>
  </si>
  <si>
    <t>薛店高速</t>
  </si>
  <si>
    <t>郑州航空港区薛店高速口东侧</t>
  </si>
  <si>
    <t>其他</t>
  </si>
  <si>
    <t>只有使用权</t>
  </si>
  <si>
    <t>高速综合服务基地</t>
  </si>
  <si>
    <t>郑州航空港区华夏大道以东、洪泽湖大道以北</t>
  </si>
  <si>
    <t>已取得土地不动产权证书</t>
  </si>
  <si>
    <t>护航中心</t>
  </si>
  <si>
    <t>郑州航空港区黄海路以北、梅河路以西、雪鹤北街以东</t>
  </si>
  <si>
    <t>园博园配套设施</t>
  </si>
  <si>
    <t>会议厅</t>
  </si>
  <si>
    <t>郑州航空港区建国饭店以北，晋中园以西</t>
  </si>
  <si>
    <t>锦绣枣园</t>
  </si>
  <si>
    <t>公租房</t>
  </si>
  <si>
    <t>郑州航空港区四港联动大道西侧</t>
  </si>
  <si>
    <t>2010年</t>
  </si>
  <si>
    <t>已退出公租房台账</t>
  </si>
  <si>
    <t>锦绣绿苑</t>
  </si>
  <si>
    <t>郑州航空港区郑港八路南侧，郑港七街东侧</t>
  </si>
  <si>
    <t>蓝天公寓</t>
  </si>
  <si>
    <t>郑州航空港区中原路南侧、京珠高速公路东侧</t>
  </si>
  <si>
    <t>2011年</t>
  </si>
  <si>
    <t>天成公寓</t>
  </si>
  <si>
    <t>郑州航空港区振兴路西侧、中原路南侧</t>
  </si>
  <si>
    <t>2012年</t>
  </si>
  <si>
    <t>共31栋楼，其中9栋已退出公租房台账</t>
  </si>
  <si>
    <t>裕鸿公寓</t>
  </si>
  <si>
    <t>郑州航空港区郑港五路北侧以及郑港一街西侧</t>
  </si>
  <si>
    <t>豫康四标</t>
  </si>
  <si>
    <t>郑州航空港区郑港七路北侧</t>
  </si>
  <si>
    <t>豫康五六标</t>
  </si>
  <si>
    <t>豫康八标</t>
  </si>
  <si>
    <t>郑州航空港区郑港六路北侧</t>
  </si>
  <si>
    <t>华鸿小区
（1-10#楼）</t>
  </si>
  <si>
    <t>1-5#土地所有权人：河南省华鸿置业有限公司；</t>
  </si>
  <si>
    <t>华鸿公司</t>
  </si>
  <si>
    <t>华鸿小区
（1-5#楼1、2层商业）</t>
  </si>
  <si>
    <t>郑州航空港区鄱阳湖路以南、雍州路以西</t>
  </si>
  <si>
    <t>已取得预售许可证书</t>
  </si>
  <si>
    <t>管养中心南区</t>
  </si>
  <si>
    <t>环卫设施</t>
  </si>
  <si>
    <t>郑州航空港区航新路东，新港八路南</t>
  </si>
  <si>
    <t>管养中心北区</t>
  </si>
  <si>
    <t>郑州航空港区航城西路东侧，祥开路南侧</t>
  </si>
  <si>
    <t>城市服务子集团小计：</t>
  </si>
  <si>
    <t>恒丰公司</t>
  </si>
  <si>
    <t>恒丰科创中心A区</t>
  </si>
  <si>
    <t>产业园</t>
  </si>
  <si>
    <t>郑州航空港区如云路以北、梅河路以东</t>
  </si>
  <si>
    <r>
      <rPr>
        <sz val="9"/>
        <color rgb="FF000000"/>
        <rFont val="仿宋_GB2312"/>
        <charset val="134"/>
      </rPr>
      <t>建筑面积不含地下面积（52887.81</t>
    </r>
    <r>
      <rPr>
        <sz val="9"/>
        <color rgb="FF000000"/>
        <rFont val="宋体"/>
        <charset val="134"/>
      </rPr>
      <t>㎡</t>
    </r>
    <r>
      <rPr>
        <sz val="9"/>
        <color rgb="FF000000"/>
        <rFont val="仿宋_GB2312"/>
        <charset val="134"/>
      </rPr>
      <t>）</t>
    </r>
  </si>
  <si>
    <t>仁宏公司</t>
  </si>
  <si>
    <t>恒丰跨境商务中心</t>
  </si>
  <si>
    <t>郑州航空港区海关申报大厅以东，海关主卡口以西，南临保税南路，东临富三街</t>
  </si>
  <si>
    <t>16374 .66</t>
  </si>
  <si>
    <t>已办理立项手续</t>
  </si>
  <si>
    <t>25年8月取得产证，产权人为管委会</t>
  </si>
  <si>
    <t>恒丰物流中心仓储</t>
  </si>
  <si>
    <t>郑州新郑综合保税区海关主卡口以东，机场货站项目以西，康一路以南，保税南路以北</t>
  </si>
  <si>
    <t>恒丰科技园标准化厂房
（四栋仓库）</t>
  </si>
  <si>
    <t>郑州新郑综合保税区雍州路东侧，远航路南侧</t>
  </si>
  <si>
    <t>恒丰科技园标准化厂房
（1#、2#附房）</t>
  </si>
  <si>
    <t>郑州航空港区雍州路东侧，远航路南侧</t>
  </si>
  <si>
    <t>恒丰电子产业园
（北区仓库，保税金仓）</t>
  </si>
  <si>
    <t>郑州新郑综合保税区富六街以东，康二路以南</t>
  </si>
  <si>
    <t>恒丰电子产业园
（北区厂房）</t>
  </si>
  <si>
    <t>恒丰电子产业园
（南区厂房）</t>
  </si>
  <si>
    <t>郑州新郑综合保税区富六街以东，康二路以南。</t>
  </si>
  <si>
    <t>云旅盛开酒店</t>
  </si>
  <si>
    <t>郑州航空港区慈航路22号</t>
  </si>
  <si>
    <t>恒信公司</t>
  </si>
  <si>
    <t>恒信智造产业园</t>
  </si>
  <si>
    <t>郑州航空港区重英街东侧，明星路北侧</t>
  </si>
  <si>
    <t>已办理《建设用地规划许可证》《国有土地使用权证》《建设工程规划许可证》《建筑工程施工许可证》</t>
  </si>
  <si>
    <t>恒业公司</t>
  </si>
  <si>
    <t>前沿科技</t>
  </si>
  <si>
    <t>规划工业二路以南、规划工业四路以北、规划工业一街以东、规划工业三街以西</t>
  </si>
  <si>
    <t>枢纽口岸子集团（恒丰公司）小计：</t>
  </si>
  <si>
    <t>电子口岸</t>
  </si>
  <si>
    <t>郑州航空港区始祖路综合保税区西200米</t>
  </si>
  <si>
    <t>建筑面积包含海关大楼、海关查验罚没库、检验检疫罚没库、主卡办公楼、熏蒸场地、报关大厅、服务楼</t>
  </si>
  <si>
    <t>口岸作业区</t>
  </si>
  <si>
    <t>郑州新郑综合保税区富三街东侧</t>
  </si>
  <si>
    <t>建筑面积为口岸作业区业务大厅面积</t>
  </si>
  <si>
    <t>领先公司</t>
  </si>
  <si>
    <t>肉类口岸</t>
  </si>
  <si>
    <t>郑州航空港区龙港办事处祥符刘村</t>
  </si>
  <si>
    <t>已取得《国有土地使用证》《建设用地规划许可证》</t>
  </si>
  <si>
    <t>含联检大楼、冷库</t>
  </si>
  <si>
    <t>富一街仓库</t>
  </si>
  <si>
    <t>郑州新郑综合保税区内富一街与康二路交叉口</t>
  </si>
  <si>
    <t>富六街仓库</t>
  </si>
  <si>
    <t>郑州新郑综合保税区内富六街西侧</t>
  </si>
  <si>
    <t>远航路生态停车场
（商铺）</t>
  </si>
  <si>
    <t>郑州航空港区远航路南侧</t>
  </si>
  <si>
    <t>枢纽口岸子集团（仁宏公司）小计：</t>
  </si>
  <si>
    <t>新南洋公司</t>
  </si>
  <si>
    <t>南洋优鲜</t>
  </si>
  <si>
    <t>郑州航空港经济综合实验区（郑州新郑综合保税区）查验路富八街交叉口东北角</t>
  </si>
  <si>
    <t>在建</t>
  </si>
  <si>
    <t>已取得《建设用地规划许可证》《国有土地使用证》  《建设工程规划许可证》  《建筑工程施工许可证》</t>
  </si>
  <si>
    <t>枢纽口岸子集团（新南洋公司）小计：</t>
  </si>
  <si>
    <t>恒锐公司</t>
  </si>
  <si>
    <t>郑港出〔2022〕70号地</t>
  </si>
  <si>
    <t>工业用地</t>
  </si>
  <si>
    <t>航空港区规划工业三路以北、规划工业一街以东</t>
  </si>
  <si>
    <t>闲置</t>
  </si>
  <si>
    <t>招拍挂</t>
  </si>
  <si>
    <t>清川公司</t>
  </si>
  <si>
    <t>郑港出〔2023〕18号地</t>
  </si>
  <si>
    <t>商业用地</t>
  </si>
  <si>
    <t>航空港区太湖路以北、凌风街以东</t>
  </si>
  <si>
    <t>枢纽口岸子集团（土地）小计：</t>
  </si>
  <si>
    <t>枢纽公司</t>
  </si>
  <si>
    <t>科创中心B区
（创业中心）</t>
  </si>
  <si>
    <t>郑州航空港区航虹路西侧、新港七路北侧</t>
  </si>
  <si>
    <t>大通关基地A地块</t>
  </si>
  <si>
    <t>仓储</t>
  </si>
  <si>
    <t>郑州航空港区海枣路以南、枣林路以东、灵枣路以北</t>
  </si>
  <si>
    <t>已取得不动产权证书</t>
  </si>
  <si>
    <t>郑州航空港站“三个中心”</t>
  </si>
  <si>
    <t>交通服务场站（兼容商业）</t>
  </si>
  <si>
    <t>郑州航空港区皛店路以南、冀州路以东，分布于郑州高铁南站四角地块</t>
  </si>
  <si>
    <t>高铁物流中心：1.29万㎡
空铁换乘中心：1.08万㎡
旅游集散中心：1.09万㎡</t>
  </si>
  <si>
    <t>高铁物流中心：无任何手续
空铁换乘中心：已取得不动产权证书
旅游集散中心：已取得不动产权证书</t>
  </si>
  <si>
    <t>枢纽口岸子集团（枢纽公司）小计：</t>
  </si>
  <si>
    <t>枢纽口岸子集团小计：</t>
  </si>
  <si>
    <t>担保公司</t>
  </si>
  <si>
    <t>郑东新区商鼎路78号（三套房）</t>
  </si>
  <si>
    <t>郑东新区商鼎路78号2单元32层3216-3218号</t>
  </si>
  <si>
    <t>郑州航空港区云港路51号（三套房）</t>
  </si>
  <si>
    <t>郑州航空港区云港路51号</t>
  </si>
  <si>
    <t>科技资本子集团（担保公司）小计：</t>
  </si>
  <si>
    <t>建发公司</t>
  </si>
  <si>
    <t>兴瑞汇金国际
（5栋楼）</t>
  </si>
  <si>
    <t>郑州航空港区新港大道以东，舜英路以南</t>
  </si>
  <si>
    <t>尚未办理房屋不动产权证书</t>
  </si>
  <si>
    <t>广睿公司</t>
  </si>
  <si>
    <t>会展运营公司</t>
  </si>
  <si>
    <t>郑州新国际会展中心（一期）</t>
  </si>
  <si>
    <t>会展中心</t>
  </si>
  <si>
    <t>郑州航空港经济综合实验区迎宾大道与滨河东路交叉口
东南部</t>
  </si>
  <si>
    <t>未取得房屋不动产权证书</t>
  </si>
  <si>
    <t>会展二期展贸城项目</t>
  </si>
  <si>
    <t>郑州航空港区滨河东路以东、荆州路以西、皛店路以北、兴朋路以南</t>
  </si>
  <si>
    <t>投用时间为试运营，未正式运营</t>
  </si>
  <si>
    <t>国际会议中心</t>
  </si>
  <si>
    <t>会议中心</t>
  </si>
  <si>
    <t>郑州航空港经济综合实验区兴朋路以南、荆州路以西</t>
  </si>
  <si>
    <t>该数据面积为会议中心，酒店未完工；
投用时间为试运营，未正式运营</t>
  </si>
  <si>
    <t>航居公司</t>
  </si>
  <si>
    <t>国际会议中心配套五星级酒店项目</t>
  </si>
  <si>
    <t>酒店</t>
  </si>
  <si>
    <t>盛远置业</t>
  </si>
  <si>
    <t>会展2号地酒店项目</t>
  </si>
  <si>
    <t>酒店+商业</t>
  </si>
  <si>
    <t>8957.76㎡架空层未计入建筑面积
酒店已完工，未办理竣备；写字楼预计2025年12月31日竣备。</t>
  </si>
  <si>
    <t>会展2号地写字楼项目</t>
  </si>
  <si>
    <t>写字楼</t>
  </si>
  <si>
    <t>安诚公司</t>
  </si>
  <si>
    <t>装配式产业园
（含产教实训基地）</t>
  </si>
  <si>
    <t>郑州航空港区炎黄大道与华夏大道交叉口向南4km处</t>
  </si>
  <si>
    <t>2020年</t>
  </si>
  <si>
    <t>其中，探亲楼5700.77㎡，108间房，计划于2024年9月投入使用。</t>
  </si>
  <si>
    <t>开发建设子集团小计：</t>
  </si>
  <si>
    <t>汽车运营公司</t>
  </si>
  <si>
    <t>海马新能源汽车园区</t>
  </si>
  <si>
    <t>中牟县东风路6号</t>
  </si>
  <si>
    <t>汽车产业子集团小计：</t>
  </si>
  <si>
    <t>科创集团合计：</t>
  </si>
  <si>
    <t>产权情况</t>
  </si>
  <si>
    <t>台账中可租赁面积</t>
  </si>
  <si>
    <t>运营权置换项目，不涉及产权</t>
  </si>
  <si>
    <t>已取得商品房现售备案证</t>
  </si>
  <si>
    <t>已办理《建设用地规划许可证》、《国有土地使用权证》</t>
  </si>
  <si>
    <t>医科城产业园</t>
  </si>
  <si>
    <t>一期</t>
  </si>
  <si>
    <t>泊可易公司</t>
  </si>
  <si>
    <t>福迪庭院（3栋楼）</t>
  </si>
  <si>
    <t>商业</t>
  </si>
  <si>
    <t>前沿科技产业园</t>
  </si>
  <si>
    <t>在建中，已办理《建设用地规划许可证》《国有土地使用权证》《建设工程规划许可证》《建筑工程施工许可证》</t>
  </si>
  <si>
    <t>富士康扩产项目</t>
  </si>
  <si>
    <t>已取得坐落证明</t>
  </si>
  <si>
    <t>自规局对土地变性及合宗卷宗签批中</t>
  </si>
  <si>
    <t>土地处罚手续纸质版资料报批至省厅</t>
  </si>
  <si>
    <t>远航路生态停车场（停车楼）</t>
  </si>
  <si>
    <t>停车楼</t>
  </si>
  <si>
    <t>大通关基地-陆侧</t>
  </si>
  <si>
    <t>仓储-产业园</t>
  </si>
  <si>
    <t>大通关基地-空侧</t>
  </si>
  <si>
    <t>中国(郑州)国际进出口冷链物流产业园</t>
  </si>
  <si>
    <t>郑州国际大宗商品交易中心(首开地块)</t>
  </si>
  <si>
    <t>综保区扩区项目(C地块)</t>
  </si>
  <si>
    <t>京东智慧物流仓</t>
  </si>
  <si>
    <t>科技资本</t>
  </si>
  <si>
    <t>中原数字视听产业园</t>
  </si>
  <si>
    <t>酒店-商业</t>
  </si>
  <si>
    <t>汽车公司</t>
  </si>
  <si>
    <t>汽车更新改造循环利用产业基地</t>
  </si>
  <si>
    <t>醇氢动力产业园</t>
  </si>
  <si>
    <t>科创集团经营性资产信息统计表</t>
  </si>
  <si>
    <t>注：截至2026年7月，科创集团经营性资产项目共63个，按产权归属计，集团本部2个，产业服务子集团29个，枢纽贸易子集团22个，科技资本子集团3个，开发建设子集团6个，产业投资子集团1个。按项目类型计，</t>
  </si>
  <si>
    <t>产权归属</t>
  </si>
  <si>
    <t>集团本部</t>
  </si>
  <si>
    <t>产业服务子集团</t>
  </si>
  <si>
    <t>华鸿及华安小区
（1-10#楼）</t>
  </si>
  <si>
    <t>华安小区
（6-8及10#楼部分底商）</t>
  </si>
  <si>
    <t>郑州航空港区淮海路比亚迪厂区周边</t>
  </si>
  <si>
    <t>会展公司</t>
  </si>
  <si>
    <t>会展公园配套商业</t>
  </si>
  <si>
    <t>皛店路以南、荆州路以西，北邻中原国际会展中心</t>
  </si>
  <si>
    <t>丝路文旅</t>
  </si>
  <si>
    <t>航线里商业街</t>
  </si>
  <si>
    <t>河南省郑州市郑州航空港经济综合实验区华夏大道与祥港剧交叉口东南角航线里商业街</t>
  </si>
  <si>
    <t>村集体</t>
  </si>
  <si>
    <t>临港城市运营</t>
  </si>
  <si>
    <t>龙安社区1/2/6号院商业
（临港后勤）</t>
  </si>
  <si>
    <t>龙王乡幸安西路</t>
  </si>
  <si>
    <t>航发集团</t>
  </si>
  <si>
    <t>数智传媒</t>
  </si>
  <si>
    <t>航空港新闻发布中心</t>
  </si>
  <si>
    <t>郑州航空港新港大道舜英路兴瑞汇金国际2号楼13楼</t>
  </si>
  <si>
    <t>安港产业园</t>
  </si>
  <si>
    <t>1号公园配套设施改造项目</t>
  </si>
  <si>
    <t>公园绿地</t>
  </si>
  <si>
    <t>飞航路以北、华夏大道以东</t>
  </si>
  <si>
    <t>才港公司</t>
  </si>
  <si>
    <t>泰丰公寓</t>
  </si>
  <si>
    <t>人才公寓</t>
  </si>
  <si>
    <t>航空港区鄱阳湖路与凌空街交叉口西南角</t>
  </si>
  <si>
    <t>港投集团</t>
  </si>
  <si>
    <t>润丰锦尚</t>
  </si>
  <si>
    <t>航空港区长安路与慈航路交叉口</t>
  </si>
  <si>
    <t>港投航程城建集团</t>
  </si>
  <si>
    <t>富创公寓</t>
  </si>
  <si>
    <t>郑州航空港区如云路与乔松街交叉口东南角</t>
  </si>
  <si>
    <t>空港资产运营公司</t>
  </si>
  <si>
    <t>梅河芳邻</t>
  </si>
  <si>
    <t>郑州航空港区工业十路与梁州大道交叉口东北角</t>
  </si>
  <si>
    <t>台科置业</t>
  </si>
  <si>
    <t>台科公寓</t>
  </si>
  <si>
    <t>河南省郑州市新郑市新港街道郑州台湾科技园19号楼</t>
  </si>
  <si>
    <t>航南新城</t>
  </si>
  <si>
    <t>郑州航空港区遵大路与新港大道交叉口西北角</t>
  </si>
  <si>
    <t>豫资公司</t>
  </si>
  <si>
    <t>航港南苑</t>
  </si>
  <si>
    <t>航空港区雍州路以东、东海路以南</t>
  </si>
  <si>
    <t>枢纽贸易子集团</t>
  </si>
  <si>
    <t>远航路生态停车场（商铺）</t>
  </si>
  <si>
    <t>恒丰公司/新材料公司</t>
  </si>
  <si>
    <t>科技资本子集团</t>
  </si>
  <si>
    <t>郑州市航空港区华夏大道与慈航路交叉口东北角</t>
  </si>
  <si>
    <t>开发建设子集团</t>
  </si>
  <si>
    <t>郑州航空港经济综合实验区迎宾大道与滨河东路交叉口东南部</t>
  </si>
  <si>
    <t>会展2号地写字楼（会展大厦）</t>
  </si>
  <si>
    <t>建发公司/城服公司</t>
  </si>
  <si>
    <t>建发公司/泰丰商管</t>
  </si>
  <si>
    <t>兴瑞汇金国际（5栋楼）</t>
  </si>
  <si>
    <t>产业投资子集团</t>
  </si>
  <si>
    <t>汽车更新改造循环利用产业基地（一期）</t>
  </si>
  <si>
    <t>郑州航空港区空七路以北、雍州路以东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</si>
</sst>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39">
    <font>
      <sz val="11"/>
      <color theme="1"/>
      <name val="宋体"/>
      <charset val="134"/>
      <scheme val="minor"/>
    </font>
    <font>
      <sz val="28"/>
      <color theme="1"/>
      <name val="方正小标宋简体"/>
      <charset val="134"/>
    </font>
    <font>
      <sz val="10"/>
      <color theme="1"/>
      <name val="楷体_GB2312"/>
      <charset val="134"/>
    </font>
    <font>
      <b/>
      <sz val="10"/>
      <color rgb="FF000000"/>
      <name val="黑体"/>
      <charset val="134"/>
    </font>
    <font>
      <b/>
      <sz val="10"/>
      <name val="黑体"/>
      <charset val="134"/>
    </font>
    <font>
      <sz val="10"/>
      <color rgb="FF000000"/>
      <name val="黑体"/>
      <charset val="134"/>
    </font>
    <font>
      <sz val="18"/>
      <color rgb="FF000000"/>
      <name val="黑体"/>
      <charset val="134"/>
    </font>
    <font>
      <sz val="10"/>
      <name val="黑体"/>
      <charset val="134"/>
    </font>
    <font>
      <sz val="10"/>
      <color theme="1"/>
      <name val="黑体"/>
      <charset val="134"/>
    </font>
    <font>
      <sz val="11"/>
      <color rgb="FF000000"/>
      <name val="黑体"/>
      <charset val="134"/>
    </font>
    <font>
      <sz val="9"/>
      <color rgb="FF000000"/>
      <name val="黑体"/>
      <charset val="134"/>
    </font>
    <font>
      <sz val="9"/>
      <color rgb="FF000000"/>
      <name val="仿宋_GB2312"/>
      <charset val="134"/>
    </font>
    <font>
      <b/>
      <sz val="9"/>
      <color rgb="FF000000"/>
      <name val="仿宋_GB2312"/>
      <charset val="134"/>
    </font>
    <font>
      <sz val="11"/>
      <color rgb="FFFF0000"/>
      <name val="宋体"/>
      <charset val="134"/>
      <scheme val="minor"/>
    </font>
    <font>
      <sz val="9"/>
      <name val="仿宋_GB2312"/>
      <charset val="134"/>
    </font>
    <font>
      <sz val="9"/>
      <color rgb="FFFF000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000000"/>
      <name val="黑体"/>
      <charset val="134"/>
    </font>
    <font>
      <sz val="9"/>
      <color rgb="FF000000"/>
      <name val="宋体"/>
      <charset val="134"/>
    </font>
    <font>
      <b/>
      <sz val="9"/>
      <name val="宋体"/>
      <charset val="134"/>
    </font>
    <font>
      <sz val="9"/>
      <name val="宋体"/>
      <charset val="134"/>
    </font>
  </fonts>
  <fills count="41">
    <fill>
      <patternFill patternType="none"/>
    </fill>
    <fill>
      <patternFill patternType="gray125"/>
    </fill>
    <fill>
      <patternFill patternType="solid">
        <fgColor rgb="FFFFFFFF"/>
        <bgColor indexed="64"/>
      </patternFill>
    </fill>
    <fill>
      <patternFill patternType="solid">
        <fgColor rgb="FFDEEBF7"/>
        <bgColor indexed="64"/>
      </patternFill>
    </fill>
    <fill>
      <patternFill patternType="solid">
        <fgColor theme="0" tint="-0.25"/>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10" borderId="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7" applyNumberFormat="0" applyFill="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3" fillId="0" borderId="0" applyNumberFormat="0" applyFill="0" applyBorder="0" applyAlignment="0" applyProtection="0">
      <alignment vertical="center"/>
    </xf>
    <xf numFmtId="0" fontId="24" fillId="11" borderId="9" applyNumberFormat="0" applyAlignment="0" applyProtection="0">
      <alignment vertical="center"/>
    </xf>
    <xf numFmtId="0" fontId="25" fillId="12" borderId="10" applyNumberFormat="0" applyAlignment="0" applyProtection="0">
      <alignment vertical="center"/>
    </xf>
    <xf numFmtId="0" fontId="26" fillId="12" borderId="9" applyNumberFormat="0" applyAlignment="0" applyProtection="0">
      <alignment vertical="center"/>
    </xf>
    <xf numFmtId="0" fontId="27" fillId="13" borderId="11" applyNumberFormat="0" applyAlignment="0" applyProtection="0">
      <alignment vertical="center"/>
    </xf>
    <xf numFmtId="0" fontId="28" fillId="0" borderId="12" applyNumberFormat="0" applyFill="0" applyAlignment="0" applyProtection="0">
      <alignment vertical="center"/>
    </xf>
    <xf numFmtId="0" fontId="29" fillId="0" borderId="13" applyNumberFormat="0" applyFill="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3" fillId="40" borderId="0" applyNumberFormat="0" applyBorder="0" applyAlignment="0" applyProtection="0">
      <alignment vertical="center"/>
    </xf>
  </cellStyleXfs>
  <cellXfs count="75">
    <xf numFmtId="0" fontId="0" fillId="0" borderId="0" xfId="0">
      <alignment vertical="center"/>
    </xf>
    <xf numFmtId="0" fontId="0" fillId="0" borderId="0" xfId="0" applyFill="1">
      <alignment vertical="center"/>
    </xf>
    <xf numFmtId="0" fontId="1" fillId="0" borderId="0" xfId="0" applyFont="1" applyAlignment="1">
      <alignment horizontal="center" vertical="center"/>
    </xf>
    <xf numFmtId="0" fontId="2" fillId="0" borderId="1" xfId="0" applyFont="1" applyBorder="1" applyAlignment="1">
      <alignment horizontal="justify" vertical="center" wrapText="1"/>
    </xf>
    <xf numFmtId="0" fontId="3"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 xfId="0" applyFont="1" applyFill="1" applyBorder="1" applyAlignment="1">
      <alignment horizontal="center" vertical="center" textRotation="255" wrapText="1"/>
    </xf>
    <xf numFmtId="0" fontId="5" fillId="0"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57" fontId="5" fillId="0" borderId="0" xfId="0" applyNumberFormat="1" applyFont="1" applyAlignment="1">
      <alignment vertical="center" wrapText="1"/>
    </xf>
    <xf numFmtId="0" fontId="7" fillId="2" borderId="1" xfId="0" applyFont="1" applyFill="1" applyBorder="1" applyAlignment="1">
      <alignment horizontal="center" vertical="center" wrapText="1"/>
    </xf>
    <xf numFmtId="57" fontId="8" fillId="0" borderId="0" xfId="0" applyNumberFormat="1" applyFont="1" applyAlignment="1">
      <alignment vertical="center" wrapText="1"/>
    </xf>
    <xf numFmtId="0" fontId="6"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6" fillId="0" borderId="2" xfId="0" applyFont="1" applyFill="1" applyBorder="1" applyAlignment="1">
      <alignment horizontal="center" vertical="center" textRotation="255" wrapText="1"/>
    </xf>
    <xf numFmtId="0" fontId="6" fillId="0" borderId="4" xfId="0" applyFont="1" applyFill="1" applyBorder="1" applyAlignment="1">
      <alignment horizontal="center" vertical="center" textRotation="255" wrapText="1"/>
    </xf>
    <xf numFmtId="0" fontId="6"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4" fontId="11" fillId="0"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4" fontId="12" fillId="3"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0" fillId="0" borderId="0" xfId="0" applyAlignment="1">
      <alignment horizontal="center" vertical="center"/>
    </xf>
    <xf numFmtId="0" fontId="11" fillId="0" borderId="2" xfId="0" applyFont="1" applyFill="1" applyBorder="1" applyAlignment="1">
      <alignment horizontal="center" vertical="center" wrapText="1"/>
    </xf>
    <xf numFmtId="0" fontId="0" fillId="0" borderId="0" xfId="0" applyAlignment="1">
      <alignment horizontal="right" vertical="center"/>
    </xf>
    <xf numFmtId="0" fontId="11" fillId="0" borderId="4"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4" fontId="11" fillId="4" borderId="1" xfId="0" applyNumberFormat="1" applyFont="1" applyFill="1" applyBorder="1" applyAlignment="1">
      <alignment horizontal="center" vertical="center" wrapText="1"/>
    </xf>
    <xf numFmtId="4" fontId="11" fillId="2"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4" fontId="11" fillId="5" borderId="1" xfId="0" applyNumberFormat="1" applyFont="1" applyFill="1" applyBorder="1" applyAlignment="1">
      <alignment horizontal="center" vertical="center" wrapText="1"/>
    </xf>
    <xf numFmtId="0" fontId="13" fillId="0" borderId="0" xfId="0" applyFont="1">
      <alignment vertical="center"/>
    </xf>
    <xf numFmtId="0" fontId="14" fillId="0" borderId="1" xfId="0" applyFont="1" applyFill="1" applyBorder="1" applyAlignment="1">
      <alignment horizontal="center" vertical="center" wrapText="1"/>
    </xf>
    <xf numFmtId="4" fontId="0" fillId="0" borderId="0" xfId="0" applyNumberFormat="1">
      <alignment vertical="center"/>
    </xf>
    <xf numFmtId="0" fontId="15" fillId="0"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4" fontId="15" fillId="5"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4" fontId="15" fillId="2" borderId="1" xfId="0" applyNumberFormat="1"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4" fontId="11"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4" fontId="14" fillId="5" borderId="1" xfId="0" applyNumberFormat="1" applyFont="1" applyFill="1" applyBorder="1" applyAlignment="1">
      <alignment horizontal="center" vertical="center" wrapText="1"/>
    </xf>
    <xf numFmtId="0" fontId="0" fillId="0" borderId="0" xfId="0" applyFont="1">
      <alignment vertical="center"/>
    </xf>
    <xf numFmtId="176" fontId="0" fillId="0" borderId="0" xfId="0" applyNumberFormat="1">
      <alignment vertical="center"/>
    </xf>
    <xf numFmtId="176" fontId="10" fillId="2" borderId="1" xfId="0" applyNumberFormat="1" applyFont="1" applyFill="1" applyBorder="1" applyAlignment="1">
      <alignment horizontal="center" vertical="center" wrapText="1"/>
    </xf>
    <xf numFmtId="31" fontId="11" fillId="0" borderId="1" xfId="0" applyNumberFormat="1" applyFont="1" applyFill="1" applyBorder="1" applyAlignment="1">
      <alignment horizontal="center" vertical="center" wrapText="1"/>
    </xf>
    <xf numFmtId="176" fontId="11" fillId="0" borderId="1" xfId="0" applyNumberFormat="1" applyFont="1" applyFill="1" applyBorder="1" applyAlignment="1">
      <alignment horizontal="center" vertical="center" wrapText="1"/>
    </xf>
    <xf numFmtId="4" fontId="11" fillId="6" borderId="1" xfId="0" applyNumberFormat="1" applyFont="1" applyFill="1" applyBorder="1" applyAlignment="1">
      <alignment horizontal="center" vertical="center" wrapText="1"/>
    </xf>
    <xf numFmtId="176" fontId="12" fillId="3" borderId="1" xfId="0" applyNumberFormat="1" applyFont="1" applyFill="1" applyBorder="1" applyAlignment="1">
      <alignment horizontal="center" vertical="center" wrapText="1"/>
    </xf>
    <xf numFmtId="176" fontId="11" fillId="0" borderId="5" xfId="0" applyNumberFormat="1" applyFont="1" applyBorder="1" applyAlignment="1">
      <alignment horizontal="center" vertical="center" wrapText="1"/>
    </xf>
    <xf numFmtId="31" fontId="11" fillId="0" borderId="1" xfId="0" applyNumberFormat="1" applyFont="1" applyBorder="1" applyAlignment="1">
      <alignment horizontal="center" vertical="center" wrapText="1"/>
    </xf>
    <xf numFmtId="0" fontId="11" fillId="7" borderId="1" xfId="0" applyFont="1" applyFill="1" applyBorder="1" applyAlignment="1">
      <alignment horizontal="center" vertical="center" wrapText="1"/>
    </xf>
    <xf numFmtId="3" fontId="11" fillId="2" borderId="1" xfId="0" applyNumberFormat="1" applyFont="1" applyFill="1" applyBorder="1" applyAlignment="1">
      <alignment horizontal="center" vertical="center" wrapText="1"/>
    </xf>
    <xf numFmtId="3" fontId="11" fillId="5" borderId="1" xfId="0" applyNumberFormat="1" applyFont="1" applyFill="1" applyBorder="1" applyAlignment="1">
      <alignment horizontal="center" vertical="center" wrapText="1"/>
    </xf>
    <xf numFmtId="3" fontId="11" fillId="0" borderId="1" xfId="0" applyNumberFormat="1"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176" fontId="11" fillId="0" borderId="2" xfId="0" applyNumberFormat="1" applyFont="1" applyBorder="1" applyAlignment="1">
      <alignment horizontal="center" vertical="center" wrapText="1"/>
    </xf>
    <xf numFmtId="176" fontId="11" fillId="0" borderId="3" xfId="0" applyNumberFormat="1" applyFont="1" applyBorder="1" applyAlignment="1">
      <alignment horizontal="center" vertical="center" wrapText="1"/>
    </xf>
    <xf numFmtId="57" fontId="11" fillId="0" borderId="1" xfId="0" applyNumberFormat="1" applyFont="1" applyBorder="1" applyAlignment="1">
      <alignment horizontal="center" vertical="center" wrapText="1"/>
    </xf>
    <xf numFmtId="176" fontId="11" fillId="0" borderId="1" xfId="0" applyNumberFormat="1" applyFont="1" applyBorder="1" applyAlignment="1">
      <alignment horizontal="center" vertical="center" wrapText="1"/>
    </xf>
    <xf numFmtId="0" fontId="15" fillId="2"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58"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5.xml"/><Relationship Id="rId7" Type="http://schemas.openxmlformats.org/officeDocument/2006/relationships/customXml" Target="../customXml/item4.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8"/>
  <sheetViews>
    <sheetView zoomScale="90" zoomScaleNormal="90" workbookViewId="0">
      <pane ySplit="1" topLeftCell="A2" activePane="bottomLeft" state="frozen"/>
      <selection/>
      <selection pane="bottomLeft" activeCell="J3" sqref="J3"/>
    </sheetView>
  </sheetViews>
  <sheetFormatPr defaultColWidth="9" defaultRowHeight="13.5"/>
  <cols>
    <col min="1" max="1" width="6.5" customWidth="1"/>
    <col min="2" max="3" width="10.875" customWidth="1"/>
    <col min="4" max="4" width="19.175" customWidth="1"/>
    <col min="5" max="5" width="10.875" customWidth="1"/>
    <col min="6" max="6" width="21.25" customWidth="1"/>
    <col min="7" max="7" width="10.875" customWidth="1"/>
    <col min="8" max="8" width="18.525" customWidth="1"/>
    <col min="9" max="9" width="10.875" customWidth="1"/>
    <col min="10" max="10" width="15" customWidth="1"/>
    <col min="11" max="11" width="10.875" style="53" customWidth="1"/>
    <col min="12" max="12" width="10.875" customWidth="1"/>
    <col min="13" max="13" width="19.75" customWidth="1"/>
    <col min="14" max="14" width="23.6916666666667" customWidth="1"/>
    <col min="15" max="15" width="9" customWidth="1"/>
    <col min="17" max="17" width="10.375"/>
  </cols>
  <sheetData>
    <row r="1" ht="32" customHeight="1" spans="1:15">
      <c r="A1" s="22" t="s">
        <v>0</v>
      </c>
      <c r="B1" s="22" t="s">
        <v>1</v>
      </c>
      <c r="C1" s="22" t="s">
        <v>2</v>
      </c>
      <c r="D1" s="22" t="s">
        <v>3</v>
      </c>
      <c r="E1" s="22" t="s">
        <v>4</v>
      </c>
      <c r="F1" s="22" t="s">
        <v>5</v>
      </c>
      <c r="G1" s="22" t="s">
        <v>6</v>
      </c>
      <c r="H1" s="22" t="s">
        <v>7</v>
      </c>
      <c r="I1" s="22" t="s">
        <v>8</v>
      </c>
      <c r="J1" s="22" t="s">
        <v>9</v>
      </c>
      <c r="K1" s="54" t="s">
        <v>10</v>
      </c>
      <c r="L1" s="22" t="s">
        <v>11</v>
      </c>
      <c r="M1" s="22" t="s">
        <v>12</v>
      </c>
      <c r="N1" s="22" t="s">
        <v>13</v>
      </c>
    </row>
    <row r="2" ht="27" customHeight="1" spans="1:15">
      <c r="A2" s="24">
        <v>1</v>
      </c>
      <c r="B2" s="24" t="s">
        <v>14</v>
      </c>
      <c r="C2" s="24" t="s">
        <v>15</v>
      </c>
      <c r="D2" s="24" t="s">
        <v>16</v>
      </c>
      <c r="E2" s="24" t="s">
        <v>17</v>
      </c>
      <c r="F2" s="24" t="s">
        <v>18</v>
      </c>
      <c r="G2" s="24">
        <v>21.27</v>
      </c>
      <c r="H2" s="25">
        <v>17982.68</v>
      </c>
      <c r="I2" s="24">
        <v>58</v>
      </c>
      <c r="J2" s="55">
        <v>44465</v>
      </c>
      <c r="K2" s="56"/>
      <c r="L2" s="24" t="s">
        <v>19</v>
      </c>
      <c r="M2" s="43" t="s">
        <v>20</v>
      </c>
      <c r="N2" s="24" t="s">
        <v>21</v>
      </c>
      <c r="O2" t="b">
        <f t="shared" ref="O2:O39" si="0">B2=C2</f>
        <v>0</v>
      </c>
    </row>
    <row r="3" ht="28" customHeight="1" spans="1:15">
      <c r="A3" s="24">
        <v>2</v>
      </c>
      <c r="B3" s="24" t="s">
        <v>14</v>
      </c>
      <c r="C3" s="24" t="s">
        <v>15</v>
      </c>
      <c r="D3" s="24" t="s">
        <v>22</v>
      </c>
      <c r="E3" s="24" t="s">
        <v>17</v>
      </c>
      <c r="F3" s="24" t="s">
        <v>23</v>
      </c>
      <c r="G3" s="24">
        <v>24.72</v>
      </c>
      <c r="H3" s="57">
        <v>25119.42</v>
      </c>
      <c r="I3" s="24">
        <v>239</v>
      </c>
      <c r="J3" s="55">
        <v>44515</v>
      </c>
      <c r="K3" s="56">
        <v>15561.42</v>
      </c>
      <c r="L3" s="24" t="s">
        <v>19</v>
      </c>
      <c r="M3" s="43" t="s">
        <v>20</v>
      </c>
      <c r="N3" s="24" t="s">
        <v>24</v>
      </c>
      <c r="O3" t="b">
        <f t="shared" si="0"/>
        <v>0</v>
      </c>
    </row>
    <row r="4" ht="15" customHeight="1" spans="1:15">
      <c r="A4" s="26" t="s">
        <v>25</v>
      </c>
      <c r="B4" s="26"/>
      <c r="C4" s="26"/>
      <c r="D4" s="26"/>
      <c r="E4" s="26"/>
      <c r="F4" s="26"/>
      <c r="G4" s="26">
        <v>45.99</v>
      </c>
      <c r="H4" s="27">
        <v>43102.1</v>
      </c>
      <c r="I4" s="26">
        <v>297</v>
      </c>
      <c r="J4" s="26" t="s">
        <v>24</v>
      </c>
      <c r="K4" s="58"/>
      <c r="L4" s="26" t="s">
        <v>24</v>
      </c>
      <c r="M4" s="26" t="s">
        <v>24</v>
      </c>
      <c r="N4" s="26" t="s">
        <v>24</v>
      </c>
      <c r="O4" t="b">
        <f t="shared" si="0"/>
        <v>1</v>
      </c>
    </row>
    <row r="5" ht="35.25" customHeight="1" spans="1:15">
      <c r="A5" s="24">
        <v>3</v>
      </c>
      <c r="B5" s="24" t="s">
        <v>26</v>
      </c>
      <c r="C5" s="24" t="s">
        <v>15</v>
      </c>
      <c r="D5" s="30" t="s">
        <v>27</v>
      </c>
      <c r="E5" s="24" t="s">
        <v>17</v>
      </c>
      <c r="F5" s="24" t="s">
        <v>28</v>
      </c>
      <c r="G5" s="24" t="s">
        <v>24</v>
      </c>
      <c r="H5" s="25">
        <v>20747.59</v>
      </c>
      <c r="I5" s="24">
        <v>105</v>
      </c>
      <c r="J5" s="55">
        <v>42579</v>
      </c>
      <c r="K5" s="59">
        <v>28414.69</v>
      </c>
      <c r="L5" s="24" t="s">
        <v>19</v>
      </c>
      <c r="M5" s="43" t="s">
        <v>20</v>
      </c>
      <c r="N5" s="24" t="s">
        <v>29</v>
      </c>
      <c r="O5" t="b">
        <f t="shared" si="0"/>
        <v>0</v>
      </c>
    </row>
    <row r="6" spans="1:15">
      <c r="A6" s="24"/>
      <c r="B6" s="24"/>
      <c r="C6" s="24"/>
      <c r="D6" s="32"/>
      <c r="E6" s="24"/>
      <c r="F6" s="24"/>
      <c r="G6" s="24"/>
      <c r="H6" s="25">
        <v>4314.6</v>
      </c>
      <c r="I6" s="24">
        <v>42</v>
      </c>
      <c r="J6" s="55">
        <v>44018</v>
      </c>
      <c r="K6" s="59"/>
      <c r="L6" s="24" t="s">
        <v>30</v>
      </c>
      <c r="M6" s="43" t="s">
        <v>20</v>
      </c>
      <c r="N6" s="24" t="s">
        <v>24</v>
      </c>
      <c r="O6" t="b">
        <f t="shared" si="0"/>
        <v>1</v>
      </c>
    </row>
    <row r="7" spans="1:15">
      <c r="A7" s="24"/>
      <c r="B7" s="24"/>
      <c r="C7" s="24"/>
      <c r="D7" s="32"/>
      <c r="E7" s="24"/>
      <c r="F7" s="24"/>
      <c r="G7" s="24"/>
      <c r="H7" s="24">
        <v>159.99</v>
      </c>
      <c r="I7" s="24">
        <v>1</v>
      </c>
      <c r="J7" s="55">
        <v>44232</v>
      </c>
      <c r="K7" s="59"/>
      <c r="L7" s="24" t="s">
        <v>19</v>
      </c>
      <c r="M7" s="43" t="s">
        <v>20</v>
      </c>
      <c r="N7" s="24" t="s">
        <v>24</v>
      </c>
      <c r="O7" t="b">
        <f t="shared" si="0"/>
        <v>1</v>
      </c>
    </row>
    <row r="8" spans="1:15">
      <c r="A8" s="24"/>
      <c r="B8" s="24"/>
      <c r="C8" s="24"/>
      <c r="D8" s="33"/>
      <c r="E8" s="24"/>
      <c r="F8" s="24"/>
      <c r="G8" s="24"/>
      <c r="H8" s="24">
        <v>959.38</v>
      </c>
      <c r="I8" s="24">
        <v>4</v>
      </c>
      <c r="J8" s="55">
        <v>44907</v>
      </c>
      <c r="K8" s="59"/>
      <c r="L8" s="24" t="s">
        <v>31</v>
      </c>
      <c r="M8" s="43" t="s">
        <v>20</v>
      </c>
      <c r="N8" s="24" t="s">
        <v>24</v>
      </c>
      <c r="O8" t="b">
        <f t="shared" si="0"/>
        <v>1</v>
      </c>
    </row>
    <row r="9" ht="21" customHeight="1" spans="1:15">
      <c r="A9" s="24">
        <v>4</v>
      </c>
      <c r="B9" s="24" t="s">
        <v>26</v>
      </c>
      <c r="C9" s="24" t="s">
        <v>15</v>
      </c>
      <c r="D9" s="24" t="s">
        <v>32</v>
      </c>
      <c r="E9" s="24" t="s">
        <v>17</v>
      </c>
      <c r="F9" s="24" t="s">
        <v>33</v>
      </c>
      <c r="G9" s="24">
        <v>28.17</v>
      </c>
      <c r="H9" s="25">
        <v>21683.98</v>
      </c>
      <c r="I9" s="24">
        <v>340</v>
      </c>
      <c r="J9" s="55">
        <v>41099</v>
      </c>
      <c r="K9" s="59">
        <v>17909.15</v>
      </c>
      <c r="L9" s="24" t="s">
        <v>19</v>
      </c>
      <c r="M9" s="43" t="s">
        <v>20</v>
      </c>
      <c r="N9" s="24" t="s">
        <v>24</v>
      </c>
      <c r="O9" t="b">
        <f t="shared" si="0"/>
        <v>0</v>
      </c>
    </row>
    <row r="10" ht="18" customHeight="1" spans="1:15">
      <c r="A10" s="24">
        <v>5</v>
      </c>
      <c r="B10" s="24" t="s">
        <v>26</v>
      </c>
      <c r="C10" s="24" t="s">
        <v>26</v>
      </c>
      <c r="D10" s="24" t="s">
        <v>34</v>
      </c>
      <c r="E10" s="24" t="s">
        <v>17</v>
      </c>
      <c r="F10" s="24" t="s">
        <v>35</v>
      </c>
      <c r="G10" s="24">
        <v>16.53</v>
      </c>
      <c r="H10" s="25">
        <v>7328.94</v>
      </c>
      <c r="I10" s="24">
        <v>117</v>
      </c>
      <c r="J10" s="55">
        <v>41434</v>
      </c>
      <c r="K10" s="59">
        <v>5264.77</v>
      </c>
      <c r="L10" s="24" t="s">
        <v>19</v>
      </c>
      <c r="M10" s="43" t="s">
        <v>20</v>
      </c>
      <c r="N10" s="24" t="s">
        <v>36</v>
      </c>
      <c r="O10" t="b">
        <f t="shared" si="0"/>
        <v>1</v>
      </c>
    </row>
    <row r="11" ht="36" customHeight="1" spans="1:15">
      <c r="A11" s="34">
        <v>6</v>
      </c>
      <c r="B11" s="34" t="s">
        <v>26</v>
      </c>
      <c r="C11" s="34" t="s">
        <v>26</v>
      </c>
      <c r="D11" s="34" t="s">
        <v>37</v>
      </c>
      <c r="E11" s="34" t="s">
        <v>17</v>
      </c>
      <c r="F11" s="34" t="s">
        <v>38</v>
      </c>
      <c r="G11" s="34" t="s">
        <v>24</v>
      </c>
      <c r="H11" s="34">
        <v>589.38</v>
      </c>
      <c r="I11" s="37">
        <v>7</v>
      </c>
      <c r="J11" s="60">
        <v>42858</v>
      </c>
      <c r="K11" s="59">
        <v>170.94</v>
      </c>
      <c r="L11" s="34" t="s">
        <v>39</v>
      </c>
      <c r="M11" s="34" t="s">
        <v>40</v>
      </c>
      <c r="N11" s="34" t="s">
        <v>24</v>
      </c>
      <c r="O11" t="b">
        <f t="shared" si="0"/>
        <v>1</v>
      </c>
    </row>
    <row r="12" ht="33" customHeight="1" spans="1:15">
      <c r="A12" s="34"/>
      <c r="B12" s="34"/>
      <c r="C12" s="34"/>
      <c r="D12" s="34" t="s">
        <v>41</v>
      </c>
      <c r="E12" s="34" t="s">
        <v>17</v>
      </c>
      <c r="F12" s="34" t="s">
        <v>38</v>
      </c>
      <c r="G12" s="34" t="s">
        <v>24</v>
      </c>
      <c r="H12" s="36">
        <v>2500</v>
      </c>
      <c r="I12" s="37">
        <v>21</v>
      </c>
      <c r="J12" s="37" t="s">
        <v>42</v>
      </c>
      <c r="K12" s="59">
        <v>959.19</v>
      </c>
      <c r="L12" s="34" t="s">
        <v>39</v>
      </c>
      <c r="M12" s="34" t="s">
        <v>40</v>
      </c>
      <c r="N12" s="34" t="s">
        <v>24</v>
      </c>
      <c r="O12" t="b">
        <f t="shared" si="0"/>
        <v>1</v>
      </c>
    </row>
    <row r="13" ht="24" customHeight="1" spans="1:15">
      <c r="A13" s="34">
        <v>7</v>
      </c>
      <c r="B13" s="34" t="s">
        <v>26</v>
      </c>
      <c r="C13" s="34" t="s">
        <v>26</v>
      </c>
      <c r="D13" s="34" t="s">
        <v>43</v>
      </c>
      <c r="E13" s="34" t="s">
        <v>17</v>
      </c>
      <c r="F13" s="34" t="s">
        <v>44</v>
      </c>
      <c r="G13" s="34" t="s">
        <v>24</v>
      </c>
      <c r="H13" s="36">
        <v>1385.36</v>
      </c>
      <c r="I13" s="37">
        <v>18</v>
      </c>
      <c r="J13" s="60">
        <v>44805</v>
      </c>
      <c r="K13" s="59" t="s">
        <v>24</v>
      </c>
      <c r="L13" s="37" t="s">
        <v>45</v>
      </c>
      <c r="M13" s="34" t="s">
        <v>40</v>
      </c>
      <c r="N13" s="34" t="s">
        <v>46</v>
      </c>
      <c r="O13" t="b">
        <f t="shared" si="0"/>
        <v>1</v>
      </c>
    </row>
    <row r="14" ht="22.5" spans="1:15">
      <c r="A14" s="34">
        <v>8</v>
      </c>
      <c r="B14" s="34" t="s">
        <v>26</v>
      </c>
      <c r="C14" s="34" t="s">
        <v>26</v>
      </c>
      <c r="D14" s="34" t="s">
        <v>47</v>
      </c>
      <c r="E14" s="34" t="s">
        <v>17</v>
      </c>
      <c r="F14" s="34" t="s">
        <v>48</v>
      </c>
      <c r="G14" s="34">
        <v>13.71</v>
      </c>
      <c r="H14" s="36">
        <v>3947.86</v>
      </c>
      <c r="I14" s="37">
        <v>154</v>
      </c>
      <c r="J14" s="60">
        <v>45103</v>
      </c>
      <c r="K14" s="59">
        <v>3075.62</v>
      </c>
      <c r="L14" s="34" t="s">
        <v>39</v>
      </c>
      <c r="M14" s="34" t="s">
        <v>49</v>
      </c>
      <c r="N14" s="34" t="s">
        <v>24</v>
      </c>
      <c r="O14" t="b">
        <f t="shared" si="0"/>
        <v>1</v>
      </c>
    </row>
    <row r="15" ht="22.5" spans="1:15">
      <c r="A15" s="34">
        <v>9</v>
      </c>
      <c r="B15" s="37" t="s">
        <v>26</v>
      </c>
      <c r="C15" s="37" t="s">
        <v>26</v>
      </c>
      <c r="D15" s="61" t="s">
        <v>50</v>
      </c>
      <c r="E15" s="37" t="s">
        <v>17</v>
      </c>
      <c r="F15" s="37" t="s">
        <v>51</v>
      </c>
      <c r="G15" s="34" t="s">
        <v>24</v>
      </c>
      <c r="H15" s="49">
        <v>24840.83</v>
      </c>
      <c r="I15" s="37">
        <v>259</v>
      </c>
      <c r="J15" s="60">
        <v>45291</v>
      </c>
      <c r="K15" s="59" t="s">
        <v>24</v>
      </c>
      <c r="L15" s="37" t="s">
        <v>45</v>
      </c>
      <c r="M15" s="37" t="s">
        <v>49</v>
      </c>
      <c r="N15" s="37" t="s">
        <v>46</v>
      </c>
      <c r="O15" t="b">
        <f t="shared" si="0"/>
        <v>1</v>
      </c>
    </row>
    <row r="16" ht="22.5" spans="1:15">
      <c r="A16" s="34">
        <v>10</v>
      </c>
      <c r="B16" s="37" t="s">
        <v>26</v>
      </c>
      <c r="C16" s="37" t="s">
        <v>26</v>
      </c>
      <c r="D16" s="37" t="s">
        <v>52</v>
      </c>
      <c r="E16" s="37" t="s">
        <v>53</v>
      </c>
      <c r="F16" s="37" t="s">
        <v>54</v>
      </c>
      <c r="G16" s="37">
        <v>13.44</v>
      </c>
      <c r="H16" s="57">
        <v>11931.54</v>
      </c>
      <c r="I16" s="37" t="s">
        <v>24</v>
      </c>
      <c r="J16" s="60">
        <v>45371</v>
      </c>
      <c r="K16" s="59">
        <v>14459.93</v>
      </c>
      <c r="L16" s="37" t="s">
        <v>39</v>
      </c>
      <c r="M16" s="43" t="s">
        <v>20</v>
      </c>
      <c r="N16" s="34" t="s">
        <v>24</v>
      </c>
      <c r="O16" t="b">
        <f t="shared" si="0"/>
        <v>1</v>
      </c>
    </row>
    <row r="17" ht="22.5" spans="1:15">
      <c r="A17" s="34">
        <v>11</v>
      </c>
      <c r="B17" s="34" t="s">
        <v>26</v>
      </c>
      <c r="C17" s="34" t="s">
        <v>26</v>
      </c>
      <c r="D17" s="34" t="s">
        <v>55</v>
      </c>
      <c r="E17" s="34" t="s">
        <v>56</v>
      </c>
      <c r="F17" s="34" t="s">
        <v>57</v>
      </c>
      <c r="G17" s="34" t="s">
        <v>24</v>
      </c>
      <c r="H17" s="57">
        <v>154146.58</v>
      </c>
      <c r="I17" s="62">
        <v>1805</v>
      </c>
      <c r="J17" s="37" t="s">
        <v>58</v>
      </c>
      <c r="K17" s="59">
        <v>39804.52</v>
      </c>
      <c r="L17" s="34" t="s">
        <v>19</v>
      </c>
      <c r="M17" s="34" t="s">
        <v>40</v>
      </c>
      <c r="N17" s="34" t="s">
        <v>59</v>
      </c>
      <c r="O17" t="b">
        <f t="shared" si="0"/>
        <v>1</v>
      </c>
    </row>
    <row r="18" ht="22.5" spans="1:15">
      <c r="A18" s="34">
        <v>12</v>
      </c>
      <c r="B18" s="34" t="s">
        <v>26</v>
      </c>
      <c r="C18" s="34" t="s">
        <v>26</v>
      </c>
      <c r="D18" s="34" t="s">
        <v>60</v>
      </c>
      <c r="E18" s="34" t="s">
        <v>56</v>
      </c>
      <c r="F18" s="34" t="s">
        <v>61</v>
      </c>
      <c r="G18" s="34">
        <v>185.76</v>
      </c>
      <c r="H18" s="57">
        <v>190923.19</v>
      </c>
      <c r="I18" s="63">
        <v>1116</v>
      </c>
      <c r="J18" s="37" t="s">
        <v>58</v>
      </c>
      <c r="K18" s="59">
        <v>62547.12</v>
      </c>
      <c r="L18" s="34" t="s">
        <v>19</v>
      </c>
      <c r="M18" s="34" t="s">
        <v>49</v>
      </c>
      <c r="N18" s="34" t="s">
        <v>59</v>
      </c>
      <c r="O18" t="b">
        <f t="shared" si="0"/>
        <v>1</v>
      </c>
    </row>
    <row r="19" ht="22.5" spans="1:15">
      <c r="A19" s="24">
        <v>13</v>
      </c>
      <c r="B19" s="24" t="s">
        <v>26</v>
      </c>
      <c r="C19" s="24" t="s">
        <v>26</v>
      </c>
      <c r="D19" s="24" t="s">
        <v>62</v>
      </c>
      <c r="E19" s="24" t="s">
        <v>56</v>
      </c>
      <c r="F19" s="24" t="s">
        <v>63</v>
      </c>
      <c r="G19" s="24">
        <v>31.78</v>
      </c>
      <c r="H19" s="57">
        <v>31981.36</v>
      </c>
      <c r="I19" s="24">
        <v>566</v>
      </c>
      <c r="J19" s="24" t="s">
        <v>64</v>
      </c>
      <c r="K19" s="59">
        <v>10711.47</v>
      </c>
      <c r="L19" s="24" t="s">
        <v>19</v>
      </c>
      <c r="M19" s="43" t="s">
        <v>20</v>
      </c>
      <c r="N19" s="24" t="s">
        <v>59</v>
      </c>
      <c r="O19" t="b">
        <f t="shared" si="0"/>
        <v>1</v>
      </c>
    </row>
    <row r="20" ht="22.5" spans="1:15">
      <c r="A20" s="34">
        <v>14</v>
      </c>
      <c r="B20" s="34" t="s">
        <v>26</v>
      </c>
      <c r="C20" s="34" t="s">
        <v>26</v>
      </c>
      <c r="D20" s="34" t="s">
        <v>65</v>
      </c>
      <c r="E20" s="34" t="s">
        <v>56</v>
      </c>
      <c r="F20" s="34" t="s">
        <v>66</v>
      </c>
      <c r="G20" s="34">
        <v>148.15</v>
      </c>
      <c r="H20" s="36">
        <v>99133.66</v>
      </c>
      <c r="I20" s="34">
        <v>820</v>
      </c>
      <c r="J20" s="37" t="s">
        <v>67</v>
      </c>
      <c r="K20" s="59">
        <v>47536.77</v>
      </c>
      <c r="L20" s="34" t="s">
        <v>19</v>
      </c>
      <c r="M20" s="34" t="s">
        <v>49</v>
      </c>
      <c r="N20" s="24" t="s">
        <v>68</v>
      </c>
      <c r="O20" t="b">
        <f t="shared" si="0"/>
        <v>1</v>
      </c>
    </row>
    <row r="21" ht="22.5" spans="1:15">
      <c r="A21" s="24">
        <v>15</v>
      </c>
      <c r="B21" s="24" t="s">
        <v>26</v>
      </c>
      <c r="C21" s="24" t="s">
        <v>26</v>
      </c>
      <c r="D21" s="24" t="s">
        <v>69</v>
      </c>
      <c r="E21" s="24" t="s">
        <v>56</v>
      </c>
      <c r="F21" s="24" t="s">
        <v>70</v>
      </c>
      <c r="G21" s="24">
        <v>71.51</v>
      </c>
      <c r="H21" s="25">
        <v>125343.68</v>
      </c>
      <c r="I21" s="64">
        <v>1540</v>
      </c>
      <c r="J21" s="24" t="s">
        <v>64</v>
      </c>
      <c r="K21" s="59">
        <v>17629.11</v>
      </c>
      <c r="L21" s="24" t="s">
        <v>19</v>
      </c>
      <c r="M21" s="43" t="s">
        <v>20</v>
      </c>
      <c r="N21" s="24" t="s">
        <v>24</v>
      </c>
      <c r="O21" t="b">
        <f t="shared" si="0"/>
        <v>1</v>
      </c>
    </row>
    <row r="22" spans="1:15">
      <c r="A22" s="24">
        <v>16</v>
      </c>
      <c r="B22" s="24" t="s">
        <v>26</v>
      </c>
      <c r="C22" s="24" t="s">
        <v>26</v>
      </c>
      <c r="D22" s="24" t="s">
        <v>71</v>
      </c>
      <c r="E22" s="24" t="s">
        <v>56</v>
      </c>
      <c r="F22" s="24" t="s">
        <v>72</v>
      </c>
      <c r="G22" s="24">
        <v>62.28</v>
      </c>
      <c r="H22" s="25">
        <v>67283.42</v>
      </c>
      <c r="I22" s="64">
        <v>1381</v>
      </c>
      <c r="J22" s="24" t="s">
        <v>64</v>
      </c>
      <c r="K22" s="59">
        <v>19057.79</v>
      </c>
      <c r="L22" s="24" t="s">
        <v>19</v>
      </c>
      <c r="M22" s="43" t="s">
        <v>20</v>
      </c>
      <c r="N22" s="24" t="s">
        <v>24</v>
      </c>
      <c r="O22" t="b">
        <f t="shared" si="0"/>
        <v>1</v>
      </c>
    </row>
    <row r="23" spans="1:15">
      <c r="A23" s="24">
        <v>17</v>
      </c>
      <c r="B23" s="24" t="s">
        <v>26</v>
      </c>
      <c r="C23" s="24" t="s">
        <v>26</v>
      </c>
      <c r="D23" s="24" t="s">
        <v>73</v>
      </c>
      <c r="E23" s="24" t="s">
        <v>56</v>
      </c>
      <c r="F23" s="24" t="s">
        <v>72</v>
      </c>
      <c r="G23" s="24">
        <v>117.31</v>
      </c>
      <c r="H23" s="25">
        <v>132428.13</v>
      </c>
      <c r="I23" s="64">
        <v>2752</v>
      </c>
      <c r="J23" s="24" t="s">
        <v>64</v>
      </c>
      <c r="K23" s="59">
        <v>37455.64</v>
      </c>
      <c r="L23" s="24" t="s">
        <v>19</v>
      </c>
      <c r="M23" s="43" t="s">
        <v>20</v>
      </c>
      <c r="N23" s="24" t="s">
        <v>24</v>
      </c>
      <c r="O23" t="b">
        <f t="shared" si="0"/>
        <v>1</v>
      </c>
    </row>
    <row r="24" spans="1:15">
      <c r="A24" s="24">
        <v>18</v>
      </c>
      <c r="B24" s="24" t="s">
        <v>26</v>
      </c>
      <c r="C24" s="24" t="s">
        <v>26</v>
      </c>
      <c r="D24" s="24" t="s">
        <v>74</v>
      </c>
      <c r="E24" s="24" t="s">
        <v>56</v>
      </c>
      <c r="F24" s="24" t="s">
        <v>75</v>
      </c>
      <c r="G24" s="24">
        <v>60.98</v>
      </c>
      <c r="H24" s="25">
        <v>74806.92</v>
      </c>
      <c r="I24" s="64">
        <v>1570</v>
      </c>
      <c r="J24" s="24" t="s">
        <v>64</v>
      </c>
      <c r="K24" s="59">
        <v>21584.92</v>
      </c>
      <c r="L24" s="24" t="s">
        <v>19</v>
      </c>
      <c r="M24" s="43" t="s">
        <v>20</v>
      </c>
      <c r="N24" s="24" t="s">
        <v>24</v>
      </c>
      <c r="O24" t="b">
        <f t="shared" si="0"/>
        <v>1</v>
      </c>
    </row>
    <row r="25" ht="31" customHeight="1" spans="1:15">
      <c r="A25" s="34">
        <v>19</v>
      </c>
      <c r="B25" s="34" t="s">
        <v>26</v>
      </c>
      <c r="C25" s="34" t="s">
        <v>26</v>
      </c>
      <c r="D25" s="34" t="s">
        <v>76</v>
      </c>
      <c r="E25" s="34" t="s">
        <v>56</v>
      </c>
      <c r="F25" s="34" t="s">
        <v>61</v>
      </c>
      <c r="G25" s="34">
        <v>138.97</v>
      </c>
      <c r="H25" s="36">
        <v>190145.2</v>
      </c>
      <c r="I25" s="62">
        <v>3219</v>
      </c>
      <c r="J25" s="37" t="s">
        <v>67</v>
      </c>
      <c r="K25" s="59">
        <v>52523.3</v>
      </c>
      <c r="L25" s="34" t="s">
        <v>19</v>
      </c>
      <c r="M25" s="34" t="s">
        <v>49</v>
      </c>
      <c r="N25" s="34" t="s">
        <v>77</v>
      </c>
      <c r="O25" t="b">
        <f t="shared" si="0"/>
        <v>1</v>
      </c>
    </row>
    <row r="26" ht="26.15" customHeight="1" spans="1:15">
      <c r="A26" s="34">
        <v>20</v>
      </c>
      <c r="B26" s="34" t="s">
        <v>78</v>
      </c>
      <c r="C26" s="34" t="s">
        <v>78</v>
      </c>
      <c r="D26" s="37" t="s">
        <v>79</v>
      </c>
      <c r="E26" s="34" t="s">
        <v>56</v>
      </c>
      <c r="F26" s="34" t="s">
        <v>80</v>
      </c>
      <c r="G26" s="34" t="s">
        <v>24</v>
      </c>
      <c r="H26" s="36">
        <v>21067.71</v>
      </c>
      <c r="I26" s="34">
        <v>148</v>
      </c>
      <c r="J26" s="60">
        <v>41122</v>
      </c>
      <c r="K26" s="59">
        <v>6149.86</v>
      </c>
      <c r="L26" s="34" t="s">
        <v>39</v>
      </c>
      <c r="M26" s="34" t="s">
        <v>81</v>
      </c>
      <c r="N26" s="34" t="s">
        <v>24</v>
      </c>
      <c r="O26" t="b">
        <f t="shared" si="0"/>
        <v>1</v>
      </c>
    </row>
    <row r="27" ht="27.4" customHeight="1" spans="1:15">
      <c r="A27" s="34">
        <v>23</v>
      </c>
      <c r="B27" s="37" t="s">
        <v>26</v>
      </c>
      <c r="C27" s="37" t="s">
        <v>26</v>
      </c>
      <c r="D27" s="37" t="s">
        <v>82</v>
      </c>
      <c r="E27" s="37" t="s">
        <v>83</v>
      </c>
      <c r="F27" s="37" t="s">
        <v>84</v>
      </c>
      <c r="G27" s="37">
        <v>21.32</v>
      </c>
      <c r="H27" s="49">
        <v>17765.71</v>
      </c>
      <c r="I27" s="37" t="s">
        <v>24</v>
      </c>
      <c r="J27" s="60">
        <v>43983</v>
      </c>
      <c r="K27" s="59">
        <v>1950.38</v>
      </c>
      <c r="L27" s="37" t="s">
        <v>39</v>
      </c>
      <c r="M27" s="37" t="s">
        <v>49</v>
      </c>
      <c r="N27" s="34" t="s">
        <v>24</v>
      </c>
      <c r="O27" t="b">
        <f t="shared" si="0"/>
        <v>1</v>
      </c>
    </row>
    <row r="28" ht="30" customHeight="1" spans="1:15">
      <c r="A28" s="34">
        <v>24</v>
      </c>
      <c r="B28" s="37" t="s">
        <v>26</v>
      </c>
      <c r="C28" s="37" t="s">
        <v>26</v>
      </c>
      <c r="D28" s="37" t="s">
        <v>85</v>
      </c>
      <c r="E28" s="37" t="s">
        <v>83</v>
      </c>
      <c r="F28" s="37" t="s">
        <v>86</v>
      </c>
      <c r="G28" s="37">
        <v>12.4</v>
      </c>
      <c r="H28" s="49">
        <v>6614.55</v>
      </c>
      <c r="I28" s="37" t="s">
        <v>24</v>
      </c>
      <c r="J28" s="60">
        <v>43252</v>
      </c>
      <c r="K28" s="59">
        <v>1551.88</v>
      </c>
      <c r="L28" s="37" t="s">
        <v>39</v>
      </c>
      <c r="M28" s="37" t="s">
        <v>49</v>
      </c>
      <c r="N28" s="34" t="s">
        <v>24</v>
      </c>
      <c r="O28" t="b">
        <f t="shared" si="0"/>
        <v>1</v>
      </c>
    </row>
    <row r="29" ht="15" customHeight="1" spans="1:15">
      <c r="A29" s="26" t="s">
        <v>87</v>
      </c>
      <c r="B29" s="26"/>
      <c r="C29" s="26"/>
      <c r="D29" s="26"/>
      <c r="E29" s="26"/>
      <c r="F29" s="26"/>
      <c r="G29" s="27">
        <v>1167.31</v>
      </c>
      <c r="H29" s="27">
        <v>1309178.37</v>
      </c>
      <c r="I29" s="65">
        <v>17076</v>
      </c>
      <c r="J29" s="26" t="s">
        <v>24</v>
      </c>
      <c r="K29" s="58">
        <f>SUM(K5:K28)</f>
        <v>388757.05</v>
      </c>
      <c r="L29" s="26" t="s">
        <v>24</v>
      </c>
      <c r="M29" s="26" t="s">
        <v>24</v>
      </c>
      <c r="N29" s="26" t="s">
        <v>24</v>
      </c>
      <c r="O29" t="b">
        <f t="shared" si="0"/>
        <v>1</v>
      </c>
    </row>
    <row r="30" ht="22.5" spans="1:15">
      <c r="A30" s="24">
        <v>25</v>
      </c>
      <c r="B30" s="24" t="s">
        <v>88</v>
      </c>
      <c r="C30" s="24" t="s">
        <v>88</v>
      </c>
      <c r="D30" s="24" t="s">
        <v>89</v>
      </c>
      <c r="E30" s="24" t="s">
        <v>90</v>
      </c>
      <c r="F30" s="24" t="s">
        <v>91</v>
      </c>
      <c r="G30" s="24">
        <v>98.88</v>
      </c>
      <c r="H30" s="57">
        <v>134651.46</v>
      </c>
      <c r="I30" s="24" t="s">
        <v>24</v>
      </c>
      <c r="J30" s="55">
        <v>43160</v>
      </c>
      <c r="K30" s="56">
        <v>67137.15</v>
      </c>
      <c r="L30" s="24" t="s">
        <v>39</v>
      </c>
      <c r="M30" s="43" t="s">
        <v>20</v>
      </c>
      <c r="N30" s="24" t="s">
        <v>92</v>
      </c>
      <c r="O30" t="b">
        <f t="shared" si="0"/>
        <v>1</v>
      </c>
    </row>
    <row r="31" ht="39" customHeight="1" spans="1:15">
      <c r="A31" s="24">
        <v>26</v>
      </c>
      <c r="B31" s="24" t="s">
        <v>88</v>
      </c>
      <c r="C31" s="24" t="s">
        <v>93</v>
      </c>
      <c r="D31" s="61" t="s">
        <v>94</v>
      </c>
      <c r="E31" s="24" t="s">
        <v>17</v>
      </c>
      <c r="F31" s="24" t="s">
        <v>95</v>
      </c>
      <c r="G31" s="24">
        <v>6.85</v>
      </c>
      <c r="H31" s="66" t="s">
        <v>96</v>
      </c>
      <c r="I31" s="24" t="s">
        <v>24</v>
      </c>
      <c r="J31" s="55">
        <v>43102</v>
      </c>
      <c r="K31" s="56">
        <v>6719.39</v>
      </c>
      <c r="L31" s="24" t="s">
        <v>39</v>
      </c>
      <c r="M31" s="43" t="s">
        <v>97</v>
      </c>
      <c r="N31" s="67" t="s">
        <v>98</v>
      </c>
      <c r="O31" t="b">
        <f t="shared" si="0"/>
        <v>0</v>
      </c>
    </row>
    <row r="32" ht="41" customHeight="1" spans="1:15">
      <c r="A32" s="24">
        <v>27</v>
      </c>
      <c r="B32" s="24" t="s">
        <v>88</v>
      </c>
      <c r="C32" s="24" t="s">
        <v>88</v>
      </c>
      <c r="D32" s="24" t="s">
        <v>99</v>
      </c>
      <c r="E32" s="24" t="s">
        <v>90</v>
      </c>
      <c r="F32" s="24" t="s">
        <v>100</v>
      </c>
      <c r="G32" s="24">
        <v>49.97</v>
      </c>
      <c r="H32" s="57">
        <v>32494.53</v>
      </c>
      <c r="I32" s="24" t="s">
        <v>24</v>
      </c>
      <c r="J32" s="55">
        <v>41579</v>
      </c>
      <c r="K32" s="56">
        <v>9224.58</v>
      </c>
      <c r="L32" s="24" t="s">
        <v>39</v>
      </c>
      <c r="M32" s="43" t="s">
        <v>20</v>
      </c>
      <c r="N32" s="24" t="s">
        <v>24</v>
      </c>
      <c r="O32" t="b">
        <f t="shared" si="0"/>
        <v>1</v>
      </c>
    </row>
    <row r="33" ht="38.55" customHeight="1" spans="1:16">
      <c r="A33" s="34">
        <v>28</v>
      </c>
      <c r="B33" s="37" t="s">
        <v>88</v>
      </c>
      <c r="C33" s="37" t="s">
        <v>93</v>
      </c>
      <c r="D33" s="37" t="s">
        <v>101</v>
      </c>
      <c r="E33" s="34" t="s">
        <v>90</v>
      </c>
      <c r="F33" s="37" t="s">
        <v>102</v>
      </c>
      <c r="G33" s="37">
        <v>114.42</v>
      </c>
      <c r="H33" s="57">
        <v>153770.88</v>
      </c>
      <c r="I33" s="37" t="s">
        <v>24</v>
      </c>
      <c r="J33" s="60">
        <v>42248</v>
      </c>
      <c r="K33" s="68">
        <v>54342.13</v>
      </c>
      <c r="L33" s="37" t="s">
        <v>39</v>
      </c>
      <c r="M33" s="43" t="s">
        <v>20</v>
      </c>
      <c r="N33" s="37" t="s">
        <v>24</v>
      </c>
      <c r="O33" t="b">
        <f t="shared" si="0"/>
        <v>0</v>
      </c>
      <c r="P33" s="41"/>
    </row>
    <row r="34" ht="35.85" customHeight="1" spans="1:16">
      <c r="A34" s="34">
        <v>29</v>
      </c>
      <c r="B34" s="37" t="s">
        <v>88</v>
      </c>
      <c r="C34" s="37" t="s">
        <v>88</v>
      </c>
      <c r="D34" s="37" t="s">
        <v>103</v>
      </c>
      <c r="E34" s="34" t="s">
        <v>90</v>
      </c>
      <c r="F34" s="37" t="s">
        <v>104</v>
      </c>
      <c r="G34" s="37"/>
      <c r="H34" s="57">
        <v>39690.2</v>
      </c>
      <c r="I34" s="37" t="s">
        <v>24</v>
      </c>
      <c r="J34" s="60">
        <v>42248</v>
      </c>
      <c r="K34" s="69"/>
      <c r="L34" s="37" t="s">
        <v>39</v>
      </c>
      <c r="M34" s="43" t="s">
        <v>20</v>
      </c>
      <c r="N34" s="37" t="s">
        <v>24</v>
      </c>
      <c r="O34" t="b">
        <f t="shared" si="0"/>
        <v>1</v>
      </c>
    </row>
    <row r="35" ht="33" customHeight="1" spans="1:16">
      <c r="A35" s="24">
        <v>30</v>
      </c>
      <c r="B35" s="24" t="s">
        <v>88</v>
      </c>
      <c r="C35" s="24" t="s">
        <v>88</v>
      </c>
      <c r="D35" s="24" t="s">
        <v>105</v>
      </c>
      <c r="E35" s="24" t="s">
        <v>90</v>
      </c>
      <c r="F35" s="24" t="s">
        <v>106</v>
      </c>
      <c r="G35" s="24">
        <v>521.38</v>
      </c>
      <c r="H35" s="57">
        <v>107317.44</v>
      </c>
      <c r="I35" s="24" t="s">
        <v>24</v>
      </c>
      <c r="J35" s="55">
        <v>44299</v>
      </c>
      <c r="K35" s="56">
        <v>41634.91</v>
      </c>
      <c r="L35" s="24" t="s">
        <v>39</v>
      </c>
      <c r="M35" s="43" t="s">
        <v>20</v>
      </c>
      <c r="N35" s="24" t="s">
        <v>24</v>
      </c>
      <c r="O35" t="b">
        <f t="shared" si="0"/>
        <v>1</v>
      </c>
    </row>
    <row r="36" ht="33" customHeight="1" spans="1:16">
      <c r="A36" s="24">
        <v>31</v>
      </c>
      <c r="B36" s="24" t="s">
        <v>88</v>
      </c>
      <c r="C36" s="24" t="s">
        <v>88</v>
      </c>
      <c r="D36" s="24" t="s">
        <v>107</v>
      </c>
      <c r="E36" s="24" t="s">
        <v>90</v>
      </c>
      <c r="F36" s="24" t="s">
        <v>106</v>
      </c>
      <c r="G36" s="24"/>
      <c r="H36" s="57">
        <v>153650.47</v>
      </c>
      <c r="I36" s="24" t="s">
        <v>24</v>
      </c>
      <c r="J36" s="55">
        <v>42993</v>
      </c>
      <c r="K36" s="56">
        <v>57984.6</v>
      </c>
      <c r="L36" s="24" t="s">
        <v>39</v>
      </c>
      <c r="M36" s="43" t="s">
        <v>20</v>
      </c>
      <c r="N36" s="24" t="s">
        <v>24</v>
      </c>
      <c r="O36" t="b">
        <f t="shared" si="0"/>
        <v>1</v>
      </c>
    </row>
    <row r="37" ht="33.75" customHeight="1" spans="1:16">
      <c r="A37" s="24">
        <v>32</v>
      </c>
      <c r="B37" s="24" t="s">
        <v>88</v>
      </c>
      <c r="C37" s="24" t="s">
        <v>88</v>
      </c>
      <c r="D37" s="24" t="s">
        <v>108</v>
      </c>
      <c r="E37" s="24" t="s">
        <v>90</v>
      </c>
      <c r="F37" s="24" t="s">
        <v>109</v>
      </c>
      <c r="G37" s="24"/>
      <c r="H37" s="57">
        <v>83997.95</v>
      </c>
      <c r="I37" s="24" t="s">
        <v>24</v>
      </c>
      <c r="J37" s="55">
        <v>42597</v>
      </c>
      <c r="K37" s="56">
        <v>34752.68</v>
      </c>
      <c r="L37" s="24" t="s">
        <v>39</v>
      </c>
      <c r="M37" s="43" t="s">
        <v>20</v>
      </c>
      <c r="N37" s="24" t="s">
        <v>24</v>
      </c>
      <c r="O37" t="b">
        <f t="shared" si="0"/>
        <v>1</v>
      </c>
    </row>
    <row r="38" ht="20" customHeight="1" spans="1:16">
      <c r="A38" s="24">
        <v>33</v>
      </c>
      <c r="B38" s="24" t="s">
        <v>88</v>
      </c>
      <c r="C38" s="42" t="s">
        <v>88</v>
      </c>
      <c r="D38" s="61" t="s">
        <v>110</v>
      </c>
      <c r="E38" s="24" t="s">
        <v>17</v>
      </c>
      <c r="F38" s="24" t="s">
        <v>111</v>
      </c>
      <c r="G38" s="24">
        <v>11.68</v>
      </c>
      <c r="H38" s="25">
        <v>13025.06</v>
      </c>
      <c r="I38" s="24">
        <v>186</v>
      </c>
      <c r="J38" s="55">
        <v>44721</v>
      </c>
      <c r="K38" s="56">
        <v>8960.45</v>
      </c>
      <c r="L38" s="24" t="s">
        <v>19</v>
      </c>
      <c r="M38" s="43" t="s">
        <v>20</v>
      </c>
      <c r="N38" s="24" t="s">
        <v>24</v>
      </c>
      <c r="O38" t="b">
        <f t="shared" si="0"/>
        <v>1</v>
      </c>
    </row>
    <row r="39" ht="45" spans="1:16">
      <c r="A39" s="24">
        <v>34</v>
      </c>
      <c r="B39" s="24" t="s">
        <v>112</v>
      </c>
      <c r="C39" s="24" t="s">
        <v>112</v>
      </c>
      <c r="D39" s="24" t="s">
        <v>113</v>
      </c>
      <c r="E39" s="24" t="s">
        <v>90</v>
      </c>
      <c r="F39" s="24" t="s">
        <v>114</v>
      </c>
      <c r="G39" s="24">
        <v>22.43</v>
      </c>
      <c r="H39" s="25">
        <v>24284.33</v>
      </c>
      <c r="I39" s="24" t="s">
        <v>24</v>
      </c>
      <c r="J39" s="55">
        <v>45565</v>
      </c>
      <c r="K39" s="56">
        <v>7700.94</v>
      </c>
      <c r="L39" s="24" t="s">
        <v>39</v>
      </c>
      <c r="M39" s="24" t="s">
        <v>115</v>
      </c>
      <c r="N39" s="24" t="s">
        <v>24</v>
      </c>
      <c r="O39" t="b">
        <f t="shared" si="0"/>
        <v>1</v>
      </c>
    </row>
    <row r="40" ht="45" spans="1:16">
      <c r="A40" s="24">
        <v>35</v>
      </c>
      <c r="B40" s="24" t="s">
        <v>116</v>
      </c>
      <c r="C40" s="24" t="s">
        <v>116</v>
      </c>
      <c r="D40" s="66" t="s">
        <v>117</v>
      </c>
      <c r="E40" s="24" t="s">
        <v>90</v>
      </c>
      <c r="F40" s="24" t="s">
        <v>118</v>
      </c>
      <c r="G40" s="24">
        <v>100</v>
      </c>
      <c r="H40" s="25">
        <v>108000</v>
      </c>
      <c r="I40" s="24" t="s">
        <v>24</v>
      </c>
      <c r="J40" s="55">
        <v>46295</v>
      </c>
      <c r="K40" s="56">
        <v>23779.57</v>
      </c>
      <c r="L40" s="24" t="s">
        <v>39</v>
      </c>
      <c r="M40" s="24" t="s">
        <v>115</v>
      </c>
      <c r="N40" s="24" t="s">
        <v>24</v>
      </c>
    </row>
    <row r="41" ht="15" customHeight="1" spans="1:16">
      <c r="A41" s="26" t="s">
        <v>119</v>
      </c>
      <c r="B41" s="26"/>
      <c r="C41" s="26"/>
      <c r="D41" s="26"/>
      <c r="E41" s="26"/>
      <c r="F41" s="26"/>
      <c r="G41" s="26">
        <f>SUM(G31:G40)</f>
        <v>826.73</v>
      </c>
      <c r="H41" s="27">
        <f>SUM(H31:H40)</f>
        <v>716230.86</v>
      </c>
      <c r="I41" s="26">
        <v>186</v>
      </c>
      <c r="J41" s="26" t="s">
        <v>24</v>
      </c>
      <c r="K41" s="58">
        <f>SUM(K33:K40)</f>
        <v>229155.28</v>
      </c>
      <c r="L41" s="26" t="s">
        <v>24</v>
      </c>
      <c r="M41" s="26" t="s">
        <v>24</v>
      </c>
      <c r="N41" s="26" t="s">
        <v>24</v>
      </c>
      <c r="O41" t="b">
        <f t="shared" ref="O41:O62" si="1">B41=C41</f>
        <v>1</v>
      </c>
    </row>
    <row r="42" ht="57" customHeight="1" spans="1:16">
      <c r="A42" s="34">
        <v>36</v>
      </c>
      <c r="B42" s="34" t="s">
        <v>93</v>
      </c>
      <c r="C42" s="34" t="s">
        <v>93</v>
      </c>
      <c r="D42" s="34" t="s">
        <v>120</v>
      </c>
      <c r="E42" s="34" t="s">
        <v>17</v>
      </c>
      <c r="F42" s="34" t="s">
        <v>121</v>
      </c>
      <c r="G42" s="34">
        <v>42.4</v>
      </c>
      <c r="H42" s="36">
        <v>47819.38</v>
      </c>
      <c r="I42" s="37">
        <v>149</v>
      </c>
      <c r="J42" s="70">
        <v>43466</v>
      </c>
      <c r="K42" s="71">
        <v>15493.62</v>
      </c>
      <c r="L42" s="34" t="s">
        <v>30</v>
      </c>
      <c r="M42" s="37" t="s">
        <v>40</v>
      </c>
      <c r="N42" s="34" t="s">
        <v>122</v>
      </c>
      <c r="O42" t="b">
        <f t="shared" si="1"/>
        <v>1</v>
      </c>
    </row>
    <row r="43" ht="33" customHeight="1" spans="1:16">
      <c r="A43" s="34">
        <v>37</v>
      </c>
      <c r="B43" s="34" t="s">
        <v>93</v>
      </c>
      <c r="C43" s="34" t="s">
        <v>93</v>
      </c>
      <c r="D43" s="34" t="s">
        <v>123</v>
      </c>
      <c r="E43" s="34" t="s">
        <v>17</v>
      </c>
      <c r="F43" s="34" t="s">
        <v>124</v>
      </c>
      <c r="G43" s="34">
        <v>0.62</v>
      </c>
      <c r="H43" s="34">
        <v>832.2</v>
      </c>
      <c r="I43" s="34" t="s">
        <v>24</v>
      </c>
      <c r="J43" s="70">
        <v>42401</v>
      </c>
      <c r="K43" s="71">
        <v>139.38</v>
      </c>
      <c r="L43" s="34" t="s">
        <v>39</v>
      </c>
      <c r="M43" s="37" t="s">
        <v>40</v>
      </c>
      <c r="N43" s="34" t="s">
        <v>125</v>
      </c>
      <c r="O43" t="b">
        <f t="shared" si="1"/>
        <v>1</v>
      </c>
    </row>
    <row r="44" ht="44" customHeight="1" spans="1:16">
      <c r="A44" s="34">
        <v>38</v>
      </c>
      <c r="B44" s="34" t="s">
        <v>93</v>
      </c>
      <c r="C44" s="34" t="s">
        <v>126</v>
      </c>
      <c r="D44" s="34" t="s">
        <v>127</v>
      </c>
      <c r="E44" s="34" t="s">
        <v>90</v>
      </c>
      <c r="F44" s="34" t="s">
        <v>128</v>
      </c>
      <c r="G44" s="34">
        <v>80</v>
      </c>
      <c r="H44" s="57">
        <v>25521</v>
      </c>
      <c r="I44" s="34" t="s">
        <v>24</v>
      </c>
      <c r="J44" s="70">
        <v>42248</v>
      </c>
      <c r="K44" s="71">
        <v>10828.32</v>
      </c>
      <c r="L44" s="34" t="s">
        <v>39</v>
      </c>
      <c r="M44" s="34" t="s">
        <v>129</v>
      </c>
      <c r="N44" s="34" t="s">
        <v>130</v>
      </c>
      <c r="O44" t="b">
        <f t="shared" si="1"/>
        <v>0</v>
      </c>
    </row>
    <row r="45" ht="31" customHeight="1" spans="1:16">
      <c r="A45" s="34">
        <v>39</v>
      </c>
      <c r="B45" s="34" t="s">
        <v>93</v>
      </c>
      <c r="C45" s="34" t="s">
        <v>93</v>
      </c>
      <c r="D45" s="34" t="s">
        <v>131</v>
      </c>
      <c r="E45" s="34" t="s">
        <v>90</v>
      </c>
      <c r="F45" s="34" t="s">
        <v>132</v>
      </c>
      <c r="G45" s="34">
        <v>28.83</v>
      </c>
      <c r="H45" s="36">
        <v>22827.14</v>
      </c>
      <c r="I45" s="34" t="s">
        <v>24</v>
      </c>
      <c r="J45" s="70">
        <v>43466</v>
      </c>
      <c r="K45" s="71">
        <v>7834.33</v>
      </c>
      <c r="L45" s="34" t="s">
        <v>30</v>
      </c>
      <c r="M45" s="37" t="s">
        <v>40</v>
      </c>
      <c r="N45" s="34" t="s">
        <v>24</v>
      </c>
      <c r="O45" t="b">
        <f t="shared" si="1"/>
        <v>1</v>
      </c>
    </row>
    <row r="46" ht="33" customHeight="1" spans="1:16">
      <c r="A46" s="34">
        <v>40</v>
      </c>
      <c r="B46" s="34" t="s">
        <v>93</v>
      </c>
      <c r="C46" s="34" t="s">
        <v>93</v>
      </c>
      <c r="D46" s="34" t="s">
        <v>133</v>
      </c>
      <c r="E46" s="34" t="s">
        <v>90</v>
      </c>
      <c r="F46" s="34" t="s">
        <v>134</v>
      </c>
      <c r="G46" s="34">
        <v>41.07</v>
      </c>
      <c r="H46" s="36">
        <v>33688.8</v>
      </c>
      <c r="I46" s="34" t="s">
        <v>24</v>
      </c>
      <c r="J46" s="70">
        <v>42583</v>
      </c>
      <c r="K46" s="71">
        <v>10033.84</v>
      </c>
      <c r="L46" s="34" t="s">
        <v>39</v>
      </c>
      <c r="M46" s="37" t="s">
        <v>40</v>
      </c>
      <c r="N46" s="34" t="s">
        <v>24</v>
      </c>
      <c r="O46" t="b">
        <f t="shared" si="1"/>
        <v>1</v>
      </c>
    </row>
    <row r="47" ht="24" customHeight="1" spans="1:16">
      <c r="A47" s="34">
        <v>41</v>
      </c>
      <c r="B47" s="34" t="s">
        <v>93</v>
      </c>
      <c r="C47" s="72" t="s">
        <v>93</v>
      </c>
      <c r="D47" s="66" t="s">
        <v>135</v>
      </c>
      <c r="E47" s="34" t="s">
        <v>17</v>
      </c>
      <c r="F47" s="34" t="s">
        <v>136</v>
      </c>
      <c r="G47" s="34" t="s">
        <v>24</v>
      </c>
      <c r="H47" s="36">
        <v>4324.79</v>
      </c>
      <c r="I47" s="34">
        <v>54</v>
      </c>
      <c r="J47" s="70">
        <v>44531</v>
      </c>
      <c r="K47" s="71">
        <v>2344.16</v>
      </c>
      <c r="L47" s="34" t="s">
        <v>39</v>
      </c>
      <c r="M47" s="37" t="s">
        <v>40</v>
      </c>
      <c r="N47" s="34" t="s">
        <v>24</v>
      </c>
      <c r="O47" t="b">
        <f t="shared" si="1"/>
        <v>1</v>
      </c>
    </row>
    <row r="48" ht="18" customHeight="1" spans="1:16">
      <c r="A48" s="26" t="s">
        <v>137</v>
      </c>
      <c r="B48" s="26"/>
      <c r="C48" s="26"/>
      <c r="D48" s="26"/>
      <c r="E48" s="26"/>
      <c r="F48" s="26"/>
      <c r="G48" s="26">
        <f>+G42+G43+G44+G45+G46</f>
        <v>192.92</v>
      </c>
      <c r="H48" s="27">
        <f>SUM(H42:H47)</f>
        <v>135013.31</v>
      </c>
      <c r="I48" s="26">
        <f>+I42+I47</f>
        <v>203</v>
      </c>
      <c r="J48" s="26" t="s">
        <v>24</v>
      </c>
      <c r="K48" s="58">
        <f>SUM(K42:K47)</f>
        <v>46673.65</v>
      </c>
      <c r="L48" s="26" t="s">
        <v>24</v>
      </c>
      <c r="M48" s="26" t="s">
        <v>24</v>
      </c>
      <c r="N48" s="26" t="s">
        <v>24</v>
      </c>
      <c r="O48" t="b">
        <f t="shared" si="1"/>
        <v>1</v>
      </c>
    </row>
    <row r="49" s="1" customFormat="1" ht="54.9" customHeight="1" spans="1:15">
      <c r="A49" s="24">
        <v>42</v>
      </c>
      <c r="B49" s="24" t="s">
        <v>138</v>
      </c>
      <c r="C49" s="24" t="s">
        <v>138</v>
      </c>
      <c r="D49" s="66" t="s">
        <v>139</v>
      </c>
      <c r="E49" s="24" t="s">
        <v>90</v>
      </c>
      <c r="F49" s="24" t="s">
        <v>140</v>
      </c>
      <c r="G49" s="24">
        <v>54</v>
      </c>
      <c r="H49" s="25">
        <v>62919</v>
      </c>
      <c r="I49" s="24" t="s">
        <v>24</v>
      </c>
      <c r="J49" s="24" t="s">
        <v>141</v>
      </c>
      <c r="K49" s="56">
        <v>1610.86</v>
      </c>
      <c r="L49" s="24" t="s">
        <v>39</v>
      </c>
      <c r="M49" s="24" t="s">
        <v>142</v>
      </c>
      <c r="N49" s="28" t="s">
        <v>24</v>
      </c>
      <c r="O49" t="b">
        <f t="shared" si="1"/>
        <v>1</v>
      </c>
    </row>
    <row r="50" s="1" customFormat="1" ht="18" customHeight="1" spans="1:15">
      <c r="A50" s="26" t="s">
        <v>143</v>
      </c>
      <c r="B50" s="26"/>
      <c r="C50" s="26"/>
      <c r="D50" s="26"/>
      <c r="E50" s="26"/>
      <c r="F50" s="26"/>
      <c r="G50" s="26">
        <f>G49</f>
        <v>54</v>
      </c>
      <c r="H50" s="26">
        <f>H49</f>
        <v>62919</v>
      </c>
      <c r="I50" s="26" t="str">
        <f>I49</f>
        <v>/</v>
      </c>
      <c r="J50" s="26" t="s">
        <v>24</v>
      </c>
      <c r="K50" s="26">
        <f>K49</f>
        <v>1610.86</v>
      </c>
      <c r="L50" s="26" t="s">
        <v>24</v>
      </c>
      <c r="M50" s="26" t="s">
        <v>24</v>
      </c>
      <c r="N50" s="26" t="s">
        <v>24</v>
      </c>
      <c r="O50" t="b">
        <f t="shared" si="1"/>
        <v>1</v>
      </c>
    </row>
    <row r="51" s="52" customFormat="1" ht="26.25" customHeight="1" spans="1:15">
      <c r="A51" s="34"/>
      <c r="B51" s="34" t="s">
        <v>144</v>
      </c>
      <c r="C51" s="34" t="s">
        <v>24</v>
      </c>
      <c r="D51" s="34" t="s">
        <v>145</v>
      </c>
      <c r="E51" s="34" t="s">
        <v>146</v>
      </c>
      <c r="F51" s="34" t="s">
        <v>147</v>
      </c>
      <c r="G51" s="34">
        <v>91.08</v>
      </c>
      <c r="H51" s="36" t="s">
        <v>24</v>
      </c>
      <c r="I51" s="36" t="s">
        <v>24</v>
      </c>
      <c r="J51" s="37" t="s">
        <v>148</v>
      </c>
      <c r="K51" s="71">
        <v>3695.59</v>
      </c>
      <c r="L51" s="34" t="s">
        <v>149</v>
      </c>
      <c r="M51" s="34" t="s">
        <v>129</v>
      </c>
      <c r="N51" s="34" t="s">
        <v>24</v>
      </c>
      <c r="O51" t="b">
        <f t="shared" si="1"/>
        <v>0</v>
      </c>
    </row>
    <row r="52" s="52" customFormat="1" ht="33.75" customHeight="1" spans="1:15">
      <c r="A52" s="34"/>
      <c r="B52" s="34" t="s">
        <v>150</v>
      </c>
      <c r="C52" s="34" t="s">
        <v>24</v>
      </c>
      <c r="D52" s="61" t="s">
        <v>151</v>
      </c>
      <c r="E52" s="34" t="s">
        <v>152</v>
      </c>
      <c r="F52" s="34" t="s">
        <v>153</v>
      </c>
      <c r="G52" s="34">
        <v>59.74</v>
      </c>
      <c r="H52" s="36" t="s">
        <v>24</v>
      </c>
      <c r="I52" s="36" t="s">
        <v>24</v>
      </c>
      <c r="J52" s="37" t="s">
        <v>148</v>
      </c>
      <c r="K52" s="71">
        <v>12009.65</v>
      </c>
      <c r="L52" s="34" t="s">
        <v>149</v>
      </c>
      <c r="M52" s="34" t="s">
        <v>129</v>
      </c>
      <c r="N52" s="34" t="s">
        <v>24</v>
      </c>
      <c r="O52" t="b">
        <f t="shared" si="1"/>
        <v>0</v>
      </c>
    </row>
    <row r="53" ht="15" customHeight="1" spans="1:15">
      <c r="A53" s="26" t="s">
        <v>154</v>
      </c>
      <c r="B53" s="26"/>
      <c r="C53" s="26"/>
      <c r="D53" s="26"/>
      <c r="E53" s="26"/>
      <c r="F53" s="26"/>
      <c r="G53" s="26">
        <f>SUM(G51:G52)</f>
        <v>150.82</v>
      </c>
      <c r="H53" s="27" t="s">
        <v>24</v>
      </c>
      <c r="I53" s="27" t="s">
        <v>24</v>
      </c>
      <c r="J53" s="26" t="s">
        <v>24</v>
      </c>
      <c r="K53" s="58">
        <f>SUM(K51:K52)</f>
        <v>15705.24</v>
      </c>
      <c r="L53" s="26" t="s">
        <v>24</v>
      </c>
      <c r="M53" s="26" t="s">
        <v>24</v>
      </c>
      <c r="N53" s="26" t="s">
        <v>24</v>
      </c>
      <c r="O53" t="b">
        <f t="shared" si="1"/>
        <v>1</v>
      </c>
    </row>
    <row r="54" ht="28" customHeight="1" spans="1:15">
      <c r="A54" s="34">
        <v>21</v>
      </c>
      <c r="B54" s="34" t="s">
        <v>155</v>
      </c>
      <c r="C54" s="34" t="s">
        <v>88</v>
      </c>
      <c r="D54" s="66" t="s">
        <v>156</v>
      </c>
      <c r="E54" s="34" t="s">
        <v>90</v>
      </c>
      <c r="F54" s="34" t="s">
        <v>157</v>
      </c>
      <c r="G54" s="34" t="s">
        <v>24</v>
      </c>
      <c r="H54" s="36">
        <v>44145.08</v>
      </c>
      <c r="I54" s="34">
        <v>111</v>
      </c>
      <c r="J54" s="37" t="s">
        <v>58</v>
      </c>
      <c r="K54" s="71">
        <v>10139.38</v>
      </c>
      <c r="L54" s="34" t="s">
        <v>19</v>
      </c>
      <c r="M54" s="34" t="s">
        <v>40</v>
      </c>
      <c r="N54" s="34" t="s">
        <v>24</v>
      </c>
      <c r="O54" t="b">
        <f t="shared" si="1"/>
        <v>0</v>
      </c>
    </row>
    <row r="55" ht="28" customHeight="1" spans="1:15">
      <c r="A55" s="34"/>
      <c r="B55" s="34" t="s">
        <v>155</v>
      </c>
      <c r="C55" s="34" t="s">
        <v>155</v>
      </c>
      <c r="D55" s="66" t="s">
        <v>158</v>
      </c>
      <c r="E55" s="34" t="s">
        <v>159</v>
      </c>
      <c r="F55" s="34" t="s">
        <v>160</v>
      </c>
      <c r="G55" s="34">
        <v>102.6</v>
      </c>
      <c r="H55" s="36">
        <v>60300.75</v>
      </c>
      <c r="I55" s="34" t="s">
        <v>24</v>
      </c>
      <c r="J55" s="37" t="s">
        <v>141</v>
      </c>
      <c r="K55" s="71">
        <v>20518.82</v>
      </c>
      <c r="L55" s="34" t="s">
        <v>39</v>
      </c>
      <c r="M55" s="34" t="s">
        <v>161</v>
      </c>
      <c r="N55" s="34" t="s">
        <v>24</v>
      </c>
      <c r="O55" t="b">
        <f t="shared" si="1"/>
        <v>1</v>
      </c>
    </row>
    <row r="56" ht="71.6" customHeight="1" spans="1:15">
      <c r="A56" s="34"/>
      <c r="B56" s="34" t="s">
        <v>155</v>
      </c>
      <c r="C56" s="34" t="s">
        <v>155</v>
      </c>
      <c r="D56" s="66" t="s">
        <v>162</v>
      </c>
      <c r="E56" s="34" t="s">
        <v>163</v>
      </c>
      <c r="F56" s="34" t="s">
        <v>164</v>
      </c>
      <c r="G56" s="34">
        <v>45.37</v>
      </c>
      <c r="H56" s="36" t="s">
        <v>165</v>
      </c>
      <c r="I56" s="34" t="s">
        <v>24</v>
      </c>
      <c r="J56" s="37" t="s">
        <v>141</v>
      </c>
      <c r="K56" s="71">
        <v>15877.46</v>
      </c>
      <c r="L56" s="34" t="s">
        <v>30</v>
      </c>
      <c r="M56" s="34" t="s">
        <v>166</v>
      </c>
      <c r="N56" s="34" t="s">
        <v>24</v>
      </c>
      <c r="O56" t="b">
        <f t="shared" si="1"/>
        <v>1</v>
      </c>
    </row>
    <row r="57" customFormat="1" ht="15" customHeight="1" spans="1:15">
      <c r="A57" s="26" t="s">
        <v>167</v>
      </c>
      <c r="B57" s="26"/>
      <c r="C57" s="26"/>
      <c r="D57" s="26"/>
      <c r="E57" s="26"/>
      <c r="F57" s="26"/>
      <c r="G57" s="26">
        <f>+G56+G55</f>
        <v>147.97</v>
      </c>
      <c r="H57" s="27">
        <v>139015.76</v>
      </c>
      <c r="I57" s="27" t="s">
        <v>24</v>
      </c>
      <c r="J57" s="26" t="s">
        <v>24</v>
      </c>
      <c r="K57" s="58">
        <f>+K54+K55+K56</f>
        <v>46535.66</v>
      </c>
      <c r="L57" s="26" t="s">
        <v>24</v>
      </c>
      <c r="M57" s="26" t="s">
        <v>24</v>
      </c>
      <c r="N57" s="26" t="s">
        <v>24</v>
      </c>
      <c r="O57" t="b">
        <f t="shared" si="1"/>
        <v>1</v>
      </c>
    </row>
    <row r="58" ht="15" customHeight="1" spans="1:15">
      <c r="A58" s="26" t="s">
        <v>168</v>
      </c>
      <c r="B58" s="26"/>
      <c r="C58" s="26"/>
      <c r="D58" s="26"/>
      <c r="E58" s="26"/>
      <c r="F58" s="26"/>
      <c r="G58" s="26">
        <f>+G41+G48+G50+G53+G57</f>
        <v>1372.44</v>
      </c>
      <c r="H58" s="27">
        <f>+H41+H48+H50+H57</f>
        <v>1053178.93</v>
      </c>
      <c r="I58" s="27">
        <f>+I41+I48</f>
        <v>389</v>
      </c>
      <c r="J58" s="26" t="s">
        <v>24</v>
      </c>
      <c r="K58" s="58">
        <f>+K41+K48+K50+K53+K57</f>
        <v>339680.69</v>
      </c>
      <c r="L58" s="26" t="s">
        <v>24</v>
      </c>
      <c r="M58" s="26" t="s">
        <v>24</v>
      </c>
      <c r="N58" s="26" t="s">
        <v>24</v>
      </c>
      <c r="O58" t="b">
        <f t="shared" si="1"/>
        <v>1</v>
      </c>
    </row>
    <row r="59" ht="31.5" customHeight="1" spans="1:15">
      <c r="A59" s="24">
        <v>41</v>
      </c>
      <c r="B59" s="24" t="s">
        <v>169</v>
      </c>
      <c r="C59" s="24" t="s">
        <v>169</v>
      </c>
      <c r="D59" s="24" t="s">
        <v>170</v>
      </c>
      <c r="E59" s="24" t="s">
        <v>17</v>
      </c>
      <c r="F59" s="24" t="s">
        <v>171</v>
      </c>
      <c r="G59" s="24" t="s">
        <v>24</v>
      </c>
      <c r="H59" s="24">
        <v>559.56</v>
      </c>
      <c r="I59" s="24">
        <v>3</v>
      </c>
      <c r="J59" s="55">
        <v>44663</v>
      </c>
      <c r="K59" s="56">
        <v>919.6</v>
      </c>
      <c r="L59" s="24" t="s">
        <v>31</v>
      </c>
      <c r="M59" s="43" t="s">
        <v>20</v>
      </c>
      <c r="N59" s="24" t="s">
        <v>24</v>
      </c>
      <c r="O59" t="b">
        <f t="shared" si="1"/>
        <v>1</v>
      </c>
    </row>
    <row r="60" ht="35.25" customHeight="1" spans="1:15">
      <c r="A60" s="24">
        <v>42</v>
      </c>
      <c r="B60" s="24" t="s">
        <v>169</v>
      </c>
      <c r="C60" s="24" t="s">
        <v>169</v>
      </c>
      <c r="D60" s="24" t="s">
        <v>172</v>
      </c>
      <c r="E60" s="24" t="s">
        <v>17</v>
      </c>
      <c r="F60" s="24" t="s">
        <v>173</v>
      </c>
      <c r="G60" s="24" t="s">
        <v>24</v>
      </c>
      <c r="H60" s="24">
        <v>737.42</v>
      </c>
      <c r="I60" s="24">
        <v>3</v>
      </c>
      <c r="J60" s="55">
        <v>45015</v>
      </c>
      <c r="K60" s="56">
        <v>495.03</v>
      </c>
      <c r="L60" s="24" t="s">
        <v>31</v>
      </c>
      <c r="M60" s="43" t="s">
        <v>20</v>
      </c>
      <c r="N60" s="24" t="s">
        <v>24</v>
      </c>
      <c r="O60" t="b">
        <f t="shared" si="1"/>
        <v>1</v>
      </c>
    </row>
    <row r="61" ht="15" customHeight="1" spans="1:15">
      <c r="A61" s="26" t="s">
        <v>174</v>
      </c>
      <c r="B61" s="26"/>
      <c r="C61" s="26"/>
      <c r="D61" s="26"/>
      <c r="E61" s="26"/>
      <c r="F61" s="26"/>
      <c r="G61" s="26">
        <v>0</v>
      </c>
      <c r="H61" s="27">
        <v>1296.98</v>
      </c>
      <c r="I61" s="26">
        <v>6</v>
      </c>
      <c r="J61" s="26" t="s">
        <v>24</v>
      </c>
      <c r="K61" s="58"/>
      <c r="L61" s="26" t="s">
        <v>24</v>
      </c>
      <c r="M61" s="26" t="s">
        <v>24</v>
      </c>
      <c r="N61" s="26" t="s">
        <v>24</v>
      </c>
      <c r="O61" t="b">
        <f t="shared" si="1"/>
        <v>1</v>
      </c>
    </row>
    <row r="62" ht="31.5" customHeight="1" spans="1:15">
      <c r="A62" s="34">
        <v>43</v>
      </c>
      <c r="B62" s="34" t="s">
        <v>175</v>
      </c>
      <c r="C62" s="34" t="s">
        <v>175</v>
      </c>
      <c r="D62" s="61" t="s">
        <v>176</v>
      </c>
      <c r="E62" s="34" t="s">
        <v>17</v>
      </c>
      <c r="F62" s="34" t="s">
        <v>177</v>
      </c>
      <c r="G62" s="34" t="s">
        <v>24</v>
      </c>
      <c r="H62" s="36">
        <v>15723.19</v>
      </c>
      <c r="I62" s="34">
        <v>26</v>
      </c>
      <c r="J62" s="60">
        <v>45504</v>
      </c>
      <c r="K62" s="71">
        <v>12703.13</v>
      </c>
      <c r="L62" s="73" t="s">
        <v>19</v>
      </c>
      <c r="M62" s="34" t="s">
        <v>178</v>
      </c>
      <c r="N62" s="34" t="s">
        <v>24</v>
      </c>
      <c r="O62" t="b">
        <f t="shared" si="1"/>
        <v>1</v>
      </c>
    </row>
    <row r="63" ht="36.9" customHeight="1" spans="1:15">
      <c r="A63" s="34"/>
      <c r="B63" s="34" t="s">
        <v>179</v>
      </c>
      <c r="C63" s="34" t="s">
        <v>180</v>
      </c>
      <c r="D63" s="66" t="s">
        <v>181</v>
      </c>
      <c r="E63" s="34" t="s">
        <v>182</v>
      </c>
      <c r="F63" s="34" t="s">
        <v>183</v>
      </c>
      <c r="G63" s="34">
        <v>937.53</v>
      </c>
      <c r="H63" s="36">
        <v>288151.35</v>
      </c>
      <c r="I63" s="34" t="s">
        <v>24</v>
      </c>
      <c r="J63" s="60">
        <v>45504</v>
      </c>
      <c r="K63" s="71">
        <v>371325</v>
      </c>
      <c r="L63" s="34" t="s">
        <v>39</v>
      </c>
      <c r="M63" s="34" t="s">
        <v>184</v>
      </c>
      <c r="N63" s="34"/>
      <c r="O63" t="b">
        <f t="shared" ref="O63:O73" si="2">B63=C63</f>
        <v>0</v>
      </c>
    </row>
    <row r="64" ht="40.95" customHeight="1" spans="1:15">
      <c r="A64" s="34"/>
      <c r="B64" s="34" t="s">
        <v>175</v>
      </c>
      <c r="C64" s="34" t="s">
        <v>180</v>
      </c>
      <c r="D64" s="66" t="s">
        <v>185</v>
      </c>
      <c r="E64" s="34" t="s">
        <v>182</v>
      </c>
      <c r="F64" s="34" t="s">
        <v>186</v>
      </c>
      <c r="G64" s="34">
        <v>932</v>
      </c>
      <c r="H64" s="36">
        <f>353160.27+5485.96</f>
        <v>358646.23</v>
      </c>
      <c r="I64" s="34" t="s">
        <v>24</v>
      </c>
      <c r="J64" s="60">
        <v>45920</v>
      </c>
      <c r="K64" s="71">
        <v>864254.39</v>
      </c>
      <c r="L64" s="34" t="s">
        <v>39</v>
      </c>
      <c r="M64" s="34" t="s">
        <v>184</v>
      </c>
      <c r="N64" s="34" t="s">
        <v>187</v>
      </c>
      <c r="O64" t="b">
        <f t="shared" si="2"/>
        <v>0</v>
      </c>
    </row>
    <row r="65" ht="47.3" customHeight="1" spans="1:15">
      <c r="A65" s="34"/>
      <c r="B65" s="34" t="s">
        <v>175</v>
      </c>
      <c r="C65" s="34" t="s">
        <v>180</v>
      </c>
      <c r="D65" s="66" t="s">
        <v>188</v>
      </c>
      <c r="E65" s="34" t="s">
        <v>189</v>
      </c>
      <c r="F65" s="34" t="s">
        <v>190</v>
      </c>
      <c r="G65" s="47">
        <v>122</v>
      </c>
      <c r="H65" s="36">
        <v>127731.83</v>
      </c>
      <c r="I65" s="34" t="s">
        <v>24</v>
      </c>
      <c r="J65" s="60">
        <v>45920</v>
      </c>
      <c r="K65" s="71">
        <v>198034.78</v>
      </c>
      <c r="L65" s="34" t="s">
        <v>39</v>
      </c>
      <c r="M65" s="34" t="s">
        <v>184</v>
      </c>
      <c r="N65" s="34" t="s">
        <v>191</v>
      </c>
      <c r="O65" t="b">
        <f t="shared" si="2"/>
        <v>0</v>
      </c>
    </row>
    <row r="66" ht="31.5" customHeight="1" spans="1:15">
      <c r="A66" s="34"/>
      <c r="B66" s="34" t="s">
        <v>175</v>
      </c>
      <c r="C66" s="34" t="s">
        <v>192</v>
      </c>
      <c r="D66" s="66" t="s">
        <v>193</v>
      </c>
      <c r="E66" s="34" t="s">
        <v>194</v>
      </c>
      <c r="F66" s="34" t="s">
        <v>190</v>
      </c>
      <c r="G66" s="48"/>
      <c r="H66" s="36">
        <v>58705.89</v>
      </c>
      <c r="I66" s="34">
        <v>500</v>
      </c>
      <c r="J66" s="60">
        <v>46112</v>
      </c>
      <c r="K66" s="71">
        <v>111394.56</v>
      </c>
      <c r="L66" s="34" t="s">
        <v>39</v>
      </c>
      <c r="M66" s="34" t="s">
        <v>184</v>
      </c>
      <c r="N66" s="34"/>
      <c r="O66" t="b">
        <f t="shared" si="2"/>
        <v>0</v>
      </c>
    </row>
    <row r="67" ht="31.5" customHeight="1" spans="1:15">
      <c r="A67" s="34"/>
      <c r="B67" s="34" t="s">
        <v>195</v>
      </c>
      <c r="C67" s="34" t="s">
        <v>192</v>
      </c>
      <c r="D67" s="66" t="s">
        <v>196</v>
      </c>
      <c r="E67" s="34" t="s">
        <v>197</v>
      </c>
      <c r="F67" s="34" t="s">
        <v>190</v>
      </c>
      <c r="G67" s="47">
        <v>65</v>
      </c>
      <c r="H67" s="36">
        <f>2187.71+47318.52</f>
        <v>49506.23</v>
      </c>
      <c r="I67" s="34">
        <f>315+217</f>
        <v>532</v>
      </c>
      <c r="J67" s="60">
        <v>45991</v>
      </c>
      <c r="K67" s="68">
        <v>203594.62</v>
      </c>
      <c r="L67" s="34" t="s">
        <v>39</v>
      </c>
      <c r="M67" s="34" t="s">
        <v>184</v>
      </c>
      <c r="N67" s="47" t="s">
        <v>198</v>
      </c>
      <c r="O67" t="b">
        <f t="shared" si="2"/>
        <v>0</v>
      </c>
    </row>
    <row r="68" ht="31.5" customHeight="1" spans="1:15">
      <c r="A68" s="34"/>
      <c r="B68" s="34" t="s">
        <v>195</v>
      </c>
      <c r="C68" s="34" t="s">
        <v>180</v>
      </c>
      <c r="D68" s="66" t="s">
        <v>199</v>
      </c>
      <c r="E68" s="34" t="s">
        <v>200</v>
      </c>
      <c r="F68" s="34" t="s">
        <v>190</v>
      </c>
      <c r="G68" s="48"/>
      <c r="H68" s="36">
        <f>39818.84+37538.35</f>
        <v>77357.19</v>
      </c>
      <c r="I68" s="34">
        <f>196+210</f>
        <v>406</v>
      </c>
      <c r="J68" s="60">
        <v>46022</v>
      </c>
      <c r="K68" s="69"/>
      <c r="L68" s="34" t="s">
        <v>39</v>
      </c>
      <c r="M68" s="34" t="s">
        <v>184</v>
      </c>
      <c r="N68" s="48"/>
      <c r="O68" t="b">
        <f t="shared" si="2"/>
        <v>0</v>
      </c>
    </row>
    <row r="69" ht="37" customHeight="1" spans="1:15">
      <c r="A69" s="34">
        <v>22</v>
      </c>
      <c r="B69" s="34" t="s">
        <v>175</v>
      </c>
      <c r="C69" s="34" t="s">
        <v>201</v>
      </c>
      <c r="D69" s="37" t="s">
        <v>202</v>
      </c>
      <c r="E69" s="34" t="s">
        <v>90</v>
      </c>
      <c r="F69" s="34" t="s">
        <v>203</v>
      </c>
      <c r="G69" s="37">
        <v>245</v>
      </c>
      <c r="H69" s="49">
        <v>53003.73</v>
      </c>
      <c r="I69" s="62">
        <v>1014</v>
      </c>
      <c r="J69" s="37" t="s">
        <v>204</v>
      </c>
      <c r="K69" s="59" t="s">
        <v>24</v>
      </c>
      <c r="L69" s="34" t="s">
        <v>19</v>
      </c>
      <c r="M69" s="34" t="s">
        <v>184</v>
      </c>
      <c r="N69" s="34" t="s">
        <v>205</v>
      </c>
      <c r="O69" t="b">
        <f t="shared" si="2"/>
        <v>0</v>
      </c>
    </row>
    <row r="70" ht="15" customHeight="1" spans="1:15">
      <c r="A70" s="26" t="s">
        <v>206</v>
      </c>
      <c r="B70" s="26"/>
      <c r="C70" s="26"/>
      <c r="D70" s="26"/>
      <c r="E70" s="26"/>
      <c r="F70" s="26"/>
      <c r="G70" s="26">
        <v>0</v>
      </c>
      <c r="H70" s="27">
        <v>15723.19</v>
      </c>
      <c r="I70" s="26">
        <v>26</v>
      </c>
      <c r="J70" s="26" t="s">
        <v>24</v>
      </c>
      <c r="K70" s="58"/>
      <c r="L70" s="26" t="s">
        <v>24</v>
      </c>
      <c r="M70" s="26" t="s">
        <v>24</v>
      </c>
      <c r="N70" s="26" t="s">
        <v>24</v>
      </c>
      <c r="O70" t="b">
        <f t="shared" si="2"/>
        <v>1</v>
      </c>
    </row>
    <row r="71" ht="19.9" customHeight="1" spans="1:15">
      <c r="A71" s="34">
        <v>44</v>
      </c>
      <c r="B71" s="34" t="s">
        <v>207</v>
      </c>
      <c r="C71" s="34" t="s">
        <v>207</v>
      </c>
      <c r="D71" s="37" t="s">
        <v>208</v>
      </c>
      <c r="E71" s="37" t="s">
        <v>90</v>
      </c>
      <c r="F71" s="37" t="s">
        <v>209</v>
      </c>
      <c r="G71" s="37">
        <v>379.22</v>
      </c>
      <c r="H71" s="49">
        <v>71546</v>
      </c>
      <c r="I71" s="37" t="s">
        <v>24</v>
      </c>
      <c r="J71" s="60">
        <v>45400</v>
      </c>
      <c r="K71" s="71"/>
      <c r="L71" s="37" t="s">
        <v>19</v>
      </c>
      <c r="M71" s="37" t="s">
        <v>178</v>
      </c>
      <c r="N71" s="34" t="s">
        <v>24</v>
      </c>
      <c r="O71" t="b">
        <f t="shared" si="2"/>
        <v>1</v>
      </c>
    </row>
    <row r="72" ht="15" customHeight="1" spans="1:15">
      <c r="A72" s="26" t="s">
        <v>210</v>
      </c>
      <c r="B72" s="26"/>
      <c r="C72" s="26"/>
      <c r="D72" s="26"/>
      <c r="E72" s="26"/>
      <c r="F72" s="26"/>
      <c r="G72" s="26">
        <v>379.22</v>
      </c>
      <c r="H72" s="27">
        <v>71546</v>
      </c>
      <c r="I72" s="26">
        <v>0</v>
      </c>
      <c r="J72" s="26" t="s">
        <v>24</v>
      </c>
      <c r="K72" s="58"/>
      <c r="L72" s="26" t="s">
        <v>24</v>
      </c>
      <c r="M72" s="26" t="s">
        <v>24</v>
      </c>
      <c r="N72" s="26" t="s">
        <v>24</v>
      </c>
      <c r="O72" t="b">
        <f t="shared" si="2"/>
        <v>1</v>
      </c>
    </row>
    <row r="73" ht="15" customHeight="1" spans="1:15">
      <c r="A73" s="26" t="s">
        <v>211</v>
      </c>
      <c r="B73" s="26"/>
      <c r="C73" s="26"/>
      <c r="D73" s="26"/>
      <c r="E73" s="26"/>
      <c r="F73" s="26"/>
      <c r="G73" s="27">
        <v>2711.32</v>
      </c>
      <c r="H73" s="27">
        <v>2409006.41</v>
      </c>
      <c r="I73" s="65">
        <v>17794</v>
      </c>
      <c r="J73" s="26" t="s">
        <v>24</v>
      </c>
      <c r="K73" s="58"/>
      <c r="L73" s="26" t="s">
        <v>24</v>
      </c>
      <c r="M73" s="26" t="s">
        <v>24</v>
      </c>
      <c r="N73" s="26" t="s">
        <v>24</v>
      </c>
      <c r="O73" t="b">
        <f t="shared" si="2"/>
        <v>1</v>
      </c>
    </row>
    <row r="78" spans="1:15">
      <c r="I78" s="74"/>
      <c r="J78" s="74"/>
    </row>
  </sheetData>
  <sheetProtection formatCells="0" formatColumns="0" formatRows="0" insertRows="0" insertColumns="0" insertHyperlinks="0" deleteColumns="0" deleteRows="0" sort="0" autoFilter="0" pivotTables="0"/>
  <mergeCells count="30">
    <mergeCell ref="A4:F4"/>
    <mergeCell ref="A29:F29"/>
    <mergeCell ref="A41:F41"/>
    <mergeCell ref="A48:F48"/>
    <mergeCell ref="A50:F50"/>
    <mergeCell ref="A53:F53"/>
    <mergeCell ref="A57:F57"/>
    <mergeCell ref="A58:F58"/>
    <mergeCell ref="A61:F61"/>
    <mergeCell ref="A70:F70"/>
    <mergeCell ref="A72:F72"/>
    <mergeCell ref="A73:F73"/>
    <mergeCell ref="A5:A8"/>
    <mergeCell ref="A11:A12"/>
    <mergeCell ref="B5:B8"/>
    <mergeCell ref="B11:B12"/>
    <mergeCell ref="C5:C8"/>
    <mergeCell ref="C11:C12"/>
    <mergeCell ref="D5:D8"/>
    <mergeCell ref="E5:E8"/>
    <mergeCell ref="F5:F8"/>
    <mergeCell ref="G5:G8"/>
    <mergeCell ref="G33:G34"/>
    <mergeCell ref="G35:G37"/>
    <mergeCell ref="G65:G66"/>
    <mergeCell ref="G67:G68"/>
    <mergeCell ref="K5:K8"/>
    <mergeCell ref="K33:K34"/>
    <mergeCell ref="K67:K68"/>
    <mergeCell ref="N67:N68"/>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9"/>
  <sheetViews>
    <sheetView zoomScale="115" zoomScaleNormal="115" workbookViewId="0">
      <pane ySplit="1" topLeftCell="A2" activePane="bottomLeft" state="frozen"/>
      <selection/>
      <selection pane="bottomLeft" activeCell="J3" sqref="J3"/>
    </sheetView>
  </sheetViews>
  <sheetFormatPr defaultColWidth="9" defaultRowHeight="13.5"/>
  <cols>
    <col min="1" max="1" width="6.5" customWidth="1"/>
    <col min="2" max="3" width="10.875" customWidth="1"/>
    <col min="4" max="4" width="22.125" customWidth="1"/>
    <col min="5" max="5" width="10.875" customWidth="1"/>
    <col min="6" max="6" width="21.25" customWidth="1"/>
    <col min="7" max="7" width="10.875" customWidth="1"/>
    <col min="8" max="8" width="18.525" customWidth="1"/>
    <col min="9" max="9" width="10.875" customWidth="1"/>
    <col min="10" max="10" width="22.9333333333333" style="1" customWidth="1"/>
    <col min="11" max="11" width="23.6916666666667" style="1" customWidth="1"/>
    <col min="12" max="12" width="16.5166666666667" customWidth="1"/>
    <col min="13" max="13" width="19.0166666666667" customWidth="1"/>
    <col min="14" max="14" width="10.375"/>
  </cols>
  <sheetData>
    <row r="1" ht="32" customHeight="1" spans="1:12">
      <c r="A1" s="22" t="s">
        <v>0</v>
      </c>
      <c r="B1" s="22" t="s">
        <v>1</v>
      </c>
      <c r="C1" s="22" t="s">
        <v>2</v>
      </c>
      <c r="D1" s="22" t="s">
        <v>3</v>
      </c>
      <c r="E1" s="22" t="s">
        <v>4</v>
      </c>
      <c r="F1" s="22" t="s">
        <v>5</v>
      </c>
      <c r="G1" s="22" t="s">
        <v>6</v>
      </c>
      <c r="H1" s="22" t="s">
        <v>7</v>
      </c>
      <c r="I1" s="22" t="s">
        <v>11</v>
      </c>
      <c r="J1" s="23" t="s">
        <v>212</v>
      </c>
      <c r="K1" s="23" t="s">
        <v>13</v>
      </c>
      <c r="L1" t="s">
        <v>213</v>
      </c>
    </row>
    <row r="2" ht="27" customHeight="1" spans="1:12">
      <c r="A2" s="24">
        <v>1</v>
      </c>
      <c r="B2" s="24" t="s">
        <v>14</v>
      </c>
      <c r="C2" s="24" t="s">
        <v>15</v>
      </c>
      <c r="D2" s="24" t="s">
        <v>16</v>
      </c>
      <c r="E2" s="24" t="s">
        <v>17</v>
      </c>
      <c r="F2" s="24" t="s">
        <v>18</v>
      </c>
      <c r="G2" s="24">
        <v>21.27</v>
      </c>
      <c r="H2" s="25">
        <v>17982.68</v>
      </c>
      <c r="I2" s="24" t="s">
        <v>19</v>
      </c>
      <c r="J2" s="24" t="s">
        <v>20</v>
      </c>
      <c r="K2" s="24" t="s">
        <v>21</v>
      </c>
      <c r="L2">
        <v>1.54</v>
      </c>
    </row>
    <row r="3" ht="28" customHeight="1" spans="1:12">
      <c r="A3" s="24">
        <v>2</v>
      </c>
      <c r="B3" s="24" t="s">
        <v>14</v>
      </c>
      <c r="C3" s="24" t="s">
        <v>15</v>
      </c>
      <c r="D3" s="24" t="s">
        <v>22</v>
      </c>
      <c r="E3" s="24" t="s">
        <v>17</v>
      </c>
      <c r="F3" s="24" t="s">
        <v>23</v>
      </c>
      <c r="G3" s="24">
        <v>24.72</v>
      </c>
      <c r="H3" s="25">
        <v>25119.42</v>
      </c>
      <c r="I3" s="24" t="s">
        <v>19</v>
      </c>
      <c r="J3" s="24" t="s">
        <v>20</v>
      </c>
      <c r="K3" s="24" t="s">
        <v>24</v>
      </c>
      <c r="L3">
        <v>2.02</v>
      </c>
    </row>
    <row r="4" ht="15" customHeight="1" spans="1:12">
      <c r="A4" s="26" t="s">
        <v>25</v>
      </c>
      <c r="B4" s="26"/>
      <c r="C4" s="26"/>
      <c r="D4" s="26"/>
      <c r="E4" s="26"/>
      <c r="F4" s="26"/>
      <c r="G4" s="26">
        <v>45.99</v>
      </c>
      <c r="H4" s="27">
        <f>SUM(H2:H3)</f>
        <v>43102.1</v>
      </c>
      <c r="I4" s="26" t="s">
        <v>24</v>
      </c>
      <c r="J4" s="28" t="s">
        <v>24</v>
      </c>
      <c r="K4" s="28" t="s">
        <v>24</v>
      </c>
      <c r="L4" s="29" t="s">
        <v>24</v>
      </c>
    </row>
    <row r="5" ht="35.25" customHeight="1" spans="1:12">
      <c r="A5" s="24">
        <v>3</v>
      </c>
      <c r="B5" s="24" t="s">
        <v>26</v>
      </c>
      <c r="C5" s="24" t="s">
        <v>15</v>
      </c>
      <c r="D5" s="30" t="s">
        <v>27</v>
      </c>
      <c r="E5" s="24" t="s">
        <v>17</v>
      </c>
      <c r="F5" s="24" t="s">
        <v>28</v>
      </c>
      <c r="G5" s="24" t="s">
        <v>24</v>
      </c>
      <c r="H5" s="25">
        <v>20747.59</v>
      </c>
      <c r="I5" s="24" t="s">
        <v>19</v>
      </c>
      <c r="J5" s="24" t="s">
        <v>20</v>
      </c>
      <c r="K5" s="24" t="s">
        <v>29</v>
      </c>
      <c r="L5" s="31">
        <v>2.18</v>
      </c>
    </row>
    <row r="6" spans="1:12">
      <c r="A6" s="24"/>
      <c r="B6" s="24"/>
      <c r="C6" s="24"/>
      <c r="D6" s="32"/>
      <c r="E6" s="24"/>
      <c r="F6" s="24"/>
      <c r="G6" s="24"/>
      <c r="H6" s="25">
        <v>4314.6</v>
      </c>
      <c r="I6" s="24" t="s">
        <v>30</v>
      </c>
      <c r="J6" s="24" t="s">
        <v>20</v>
      </c>
      <c r="K6" s="24" t="s">
        <v>24</v>
      </c>
      <c r="L6" s="31"/>
    </row>
    <row r="7" spans="1:12">
      <c r="A7" s="24"/>
      <c r="B7" s="24"/>
      <c r="C7" s="24"/>
      <c r="D7" s="32"/>
      <c r="E7" s="24"/>
      <c r="F7" s="24"/>
      <c r="G7" s="24"/>
      <c r="H7" s="24">
        <v>159.99</v>
      </c>
      <c r="I7" s="24" t="s">
        <v>19</v>
      </c>
      <c r="J7" s="24" t="s">
        <v>20</v>
      </c>
      <c r="K7" s="24" t="s">
        <v>24</v>
      </c>
      <c r="L7" s="31"/>
    </row>
    <row r="8" spans="1:12">
      <c r="A8" s="24"/>
      <c r="B8" s="24"/>
      <c r="C8" s="24"/>
      <c r="D8" s="33"/>
      <c r="E8" s="24"/>
      <c r="F8" s="24"/>
      <c r="G8" s="24"/>
      <c r="H8" s="24">
        <v>959.38</v>
      </c>
      <c r="I8" s="24" t="s">
        <v>31</v>
      </c>
      <c r="J8" s="24" t="s">
        <v>20</v>
      </c>
      <c r="K8" s="24" t="s">
        <v>24</v>
      </c>
      <c r="L8" s="31"/>
    </row>
    <row r="9" ht="21" customHeight="1" spans="1:12">
      <c r="A9" s="24">
        <v>4</v>
      </c>
      <c r="B9" s="24" t="s">
        <v>26</v>
      </c>
      <c r="C9" s="24" t="s">
        <v>15</v>
      </c>
      <c r="D9" s="24" t="s">
        <v>32</v>
      </c>
      <c r="E9" s="24" t="s">
        <v>17</v>
      </c>
      <c r="F9" s="24" t="s">
        <v>33</v>
      </c>
      <c r="G9" s="24">
        <v>28.17</v>
      </c>
      <c r="H9" s="25">
        <v>21683.98</v>
      </c>
      <c r="I9" s="24" t="s">
        <v>19</v>
      </c>
      <c r="J9" s="24" t="s">
        <v>20</v>
      </c>
      <c r="K9" s="24" t="s">
        <v>24</v>
      </c>
      <c r="L9">
        <v>2.17</v>
      </c>
    </row>
    <row r="10" ht="18" customHeight="1" spans="1:12">
      <c r="A10" s="24">
        <v>5</v>
      </c>
      <c r="B10" s="24" t="s">
        <v>26</v>
      </c>
      <c r="C10" s="24" t="s">
        <v>26</v>
      </c>
      <c r="D10" s="24" t="s">
        <v>34</v>
      </c>
      <c r="E10" s="24" t="s">
        <v>17</v>
      </c>
      <c r="F10" s="24" t="s">
        <v>35</v>
      </c>
      <c r="G10" s="24">
        <v>16.53</v>
      </c>
      <c r="H10" s="25">
        <v>7328.94</v>
      </c>
      <c r="I10" s="24" t="s">
        <v>19</v>
      </c>
      <c r="J10" s="24" t="s">
        <v>20</v>
      </c>
      <c r="K10" s="24" t="s">
        <v>36</v>
      </c>
      <c r="L10">
        <v>0.71</v>
      </c>
    </row>
    <row r="11" ht="24" customHeight="1" spans="1:12">
      <c r="A11" s="24">
        <v>6</v>
      </c>
      <c r="B11" s="34" t="s">
        <v>26</v>
      </c>
      <c r="C11" s="34" t="s">
        <v>26</v>
      </c>
      <c r="D11" s="24" t="s">
        <v>43</v>
      </c>
      <c r="E11" s="24" t="s">
        <v>17</v>
      </c>
      <c r="F11" s="24" t="s">
        <v>44</v>
      </c>
      <c r="G11" s="24" t="s">
        <v>24</v>
      </c>
      <c r="H11" s="25">
        <v>1385.36</v>
      </c>
      <c r="I11" s="24" t="s">
        <v>45</v>
      </c>
      <c r="J11" s="24" t="s">
        <v>214</v>
      </c>
      <c r="K11" s="24" t="s">
        <v>46</v>
      </c>
      <c r="L11">
        <v>0.14</v>
      </c>
    </row>
    <row r="12" ht="22.5" spans="1:12">
      <c r="A12" s="24">
        <v>7</v>
      </c>
      <c r="B12" s="34" t="s">
        <v>26</v>
      </c>
      <c r="C12" s="34" t="s">
        <v>26</v>
      </c>
      <c r="D12" s="24" t="s">
        <v>47</v>
      </c>
      <c r="E12" s="24" t="s">
        <v>17</v>
      </c>
      <c r="F12" s="24" t="s">
        <v>48</v>
      </c>
      <c r="G12" s="24">
        <v>13.71</v>
      </c>
      <c r="H12" s="35">
        <v>3947.86</v>
      </c>
      <c r="I12" s="24" t="s">
        <v>39</v>
      </c>
      <c r="J12" s="24" t="s">
        <v>49</v>
      </c>
      <c r="K12" s="24" t="s">
        <v>24</v>
      </c>
    </row>
    <row r="13" ht="22.5" spans="1:12">
      <c r="A13" s="24">
        <v>8</v>
      </c>
      <c r="B13" s="34" t="s">
        <v>26</v>
      </c>
      <c r="C13" s="34" t="s">
        <v>26</v>
      </c>
      <c r="D13" s="34" t="s">
        <v>55</v>
      </c>
      <c r="E13" s="34" t="s">
        <v>56</v>
      </c>
      <c r="F13" s="34" t="s">
        <v>57</v>
      </c>
      <c r="G13" s="34" t="s">
        <v>24</v>
      </c>
      <c r="H13" s="25">
        <v>154146.58</v>
      </c>
      <c r="I13" s="34" t="s">
        <v>19</v>
      </c>
      <c r="J13" s="24" t="s">
        <v>215</v>
      </c>
      <c r="K13" s="24" t="s">
        <v>59</v>
      </c>
      <c r="L13">
        <v>10.53</v>
      </c>
    </row>
    <row r="14" ht="22.5" spans="1:12">
      <c r="A14" s="24">
        <v>9</v>
      </c>
      <c r="B14" s="34" t="s">
        <v>26</v>
      </c>
      <c r="C14" s="34" t="s">
        <v>26</v>
      </c>
      <c r="D14" s="34" t="s">
        <v>60</v>
      </c>
      <c r="E14" s="34" t="s">
        <v>56</v>
      </c>
      <c r="F14" s="34" t="s">
        <v>61</v>
      </c>
      <c r="G14" s="34">
        <v>185.76</v>
      </c>
      <c r="H14" s="25">
        <v>190923.19</v>
      </c>
      <c r="I14" s="34" t="s">
        <v>19</v>
      </c>
      <c r="J14" s="24" t="s">
        <v>215</v>
      </c>
      <c r="K14" s="24" t="s">
        <v>59</v>
      </c>
      <c r="L14">
        <v>16.68</v>
      </c>
    </row>
    <row r="15" ht="27.1" customHeight="1" spans="1:12">
      <c r="A15" s="24">
        <v>10</v>
      </c>
      <c r="B15" s="24" t="s">
        <v>26</v>
      </c>
      <c r="C15" s="24" t="s">
        <v>26</v>
      </c>
      <c r="D15" s="24" t="s">
        <v>62</v>
      </c>
      <c r="E15" s="24" t="s">
        <v>56</v>
      </c>
      <c r="F15" s="24" t="s">
        <v>63</v>
      </c>
      <c r="G15" s="24">
        <v>31.78</v>
      </c>
      <c r="H15" s="25">
        <v>31981.36</v>
      </c>
      <c r="I15" s="24" t="s">
        <v>19</v>
      </c>
      <c r="J15" s="24" t="s">
        <v>20</v>
      </c>
      <c r="K15" s="24" t="s">
        <v>59</v>
      </c>
      <c r="L15">
        <v>3.06</v>
      </c>
    </row>
    <row r="16" ht="22.5" spans="1:12">
      <c r="A16" s="24">
        <v>11</v>
      </c>
      <c r="B16" s="34" t="s">
        <v>26</v>
      </c>
      <c r="C16" s="34" t="s">
        <v>26</v>
      </c>
      <c r="D16" s="34" t="s">
        <v>65</v>
      </c>
      <c r="E16" s="34" t="s">
        <v>56</v>
      </c>
      <c r="F16" s="34" t="s">
        <v>66</v>
      </c>
      <c r="G16" s="34">
        <v>148.15</v>
      </c>
      <c r="H16" s="36">
        <v>99133.66</v>
      </c>
      <c r="I16" s="34" t="s">
        <v>19</v>
      </c>
      <c r="J16" s="24" t="s">
        <v>216</v>
      </c>
      <c r="K16" s="24" t="s">
        <v>68</v>
      </c>
      <c r="L16">
        <v>9.29</v>
      </c>
    </row>
    <row r="17" ht="27" customHeight="1" spans="1:13">
      <c r="A17" s="24">
        <v>12</v>
      </c>
      <c r="B17" s="24" t="s">
        <v>26</v>
      </c>
      <c r="C17" s="24" t="s">
        <v>26</v>
      </c>
      <c r="D17" s="24" t="s">
        <v>69</v>
      </c>
      <c r="E17" s="24" t="s">
        <v>56</v>
      </c>
      <c r="F17" s="24" t="s">
        <v>70</v>
      </c>
      <c r="G17" s="24">
        <v>71.51</v>
      </c>
      <c r="H17" s="25">
        <v>125343.68</v>
      </c>
      <c r="I17" s="24" t="s">
        <v>19</v>
      </c>
      <c r="J17" s="24" t="s">
        <v>20</v>
      </c>
      <c r="K17" s="24" t="s">
        <v>24</v>
      </c>
      <c r="L17">
        <v>6.63</v>
      </c>
    </row>
    <row r="18" spans="1:13">
      <c r="A18" s="24">
        <v>13</v>
      </c>
      <c r="B18" s="24" t="s">
        <v>26</v>
      </c>
      <c r="C18" s="24" t="s">
        <v>26</v>
      </c>
      <c r="D18" s="24" t="s">
        <v>71</v>
      </c>
      <c r="E18" s="24" t="s">
        <v>56</v>
      </c>
      <c r="F18" s="24" t="s">
        <v>72</v>
      </c>
      <c r="G18" s="24">
        <v>62.28</v>
      </c>
      <c r="H18" s="25">
        <v>67283.42</v>
      </c>
      <c r="I18" s="24" t="s">
        <v>19</v>
      </c>
      <c r="J18" s="24" t="s">
        <v>20</v>
      </c>
      <c r="K18" s="24" t="s">
        <v>24</v>
      </c>
      <c r="L18">
        <v>4.01</v>
      </c>
    </row>
    <row r="19" spans="1:13">
      <c r="A19" s="24">
        <v>14</v>
      </c>
      <c r="B19" s="24" t="s">
        <v>26</v>
      </c>
      <c r="C19" s="24" t="s">
        <v>26</v>
      </c>
      <c r="D19" s="24" t="s">
        <v>73</v>
      </c>
      <c r="E19" s="24" t="s">
        <v>56</v>
      </c>
      <c r="F19" s="24" t="s">
        <v>72</v>
      </c>
      <c r="G19" s="24">
        <v>117.31</v>
      </c>
      <c r="H19" s="25">
        <v>132428.13</v>
      </c>
      <c r="I19" s="24" t="s">
        <v>19</v>
      </c>
      <c r="J19" s="24" t="s">
        <v>20</v>
      </c>
      <c r="K19" s="24" t="s">
        <v>24</v>
      </c>
      <c r="L19">
        <v>13.167</v>
      </c>
    </row>
    <row r="20" spans="1:13">
      <c r="A20" s="24">
        <v>15</v>
      </c>
      <c r="B20" s="24" t="s">
        <v>26</v>
      </c>
      <c r="C20" s="24" t="s">
        <v>26</v>
      </c>
      <c r="D20" s="24" t="s">
        <v>74</v>
      </c>
      <c r="E20" s="24" t="s">
        <v>56</v>
      </c>
      <c r="F20" s="24" t="s">
        <v>75</v>
      </c>
      <c r="G20" s="24">
        <v>60.98</v>
      </c>
      <c r="H20" s="25">
        <v>74806.92</v>
      </c>
      <c r="I20" s="24" t="s">
        <v>19</v>
      </c>
      <c r="J20" s="24" t="s">
        <v>20</v>
      </c>
      <c r="K20" s="24" t="s">
        <v>24</v>
      </c>
      <c r="L20">
        <v>7.39</v>
      </c>
    </row>
    <row r="21" ht="31" customHeight="1" spans="1:13">
      <c r="A21" s="24">
        <v>16</v>
      </c>
      <c r="B21" s="34" t="s">
        <v>26</v>
      </c>
      <c r="C21" s="34" t="s">
        <v>26</v>
      </c>
      <c r="D21" s="34" t="s">
        <v>76</v>
      </c>
      <c r="E21" s="34" t="s">
        <v>56</v>
      </c>
      <c r="F21" s="34" t="s">
        <v>61</v>
      </c>
      <c r="G21" s="34">
        <v>138.97</v>
      </c>
      <c r="H21" s="36">
        <v>190145.2</v>
      </c>
      <c r="I21" s="34" t="s">
        <v>19</v>
      </c>
      <c r="J21" s="24" t="s">
        <v>49</v>
      </c>
      <c r="K21" s="24" t="s">
        <v>77</v>
      </c>
      <c r="L21">
        <v>18.32</v>
      </c>
    </row>
    <row r="22" ht="26.15" customHeight="1" spans="1:13">
      <c r="A22" s="24">
        <v>17</v>
      </c>
      <c r="B22" s="34" t="s">
        <v>78</v>
      </c>
      <c r="C22" s="34" t="s">
        <v>78</v>
      </c>
      <c r="D22" s="37" t="s">
        <v>79</v>
      </c>
      <c r="E22" s="34" t="s">
        <v>56</v>
      </c>
      <c r="F22" s="34" t="s">
        <v>80</v>
      </c>
      <c r="G22" s="34" t="s">
        <v>24</v>
      </c>
      <c r="H22" s="36">
        <v>21067.71</v>
      </c>
      <c r="I22" s="34" t="s">
        <v>39</v>
      </c>
      <c r="J22" s="24" t="s">
        <v>81</v>
      </c>
      <c r="K22" s="24" t="s">
        <v>24</v>
      </c>
      <c r="L22">
        <v>1.74</v>
      </c>
    </row>
    <row r="23" ht="31.5" customHeight="1" spans="1:13">
      <c r="A23" s="24">
        <v>18</v>
      </c>
      <c r="B23" s="34" t="s">
        <v>175</v>
      </c>
      <c r="C23" s="34" t="s">
        <v>175</v>
      </c>
      <c r="D23" s="24" t="s">
        <v>176</v>
      </c>
      <c r="E23" s="34" t="s">
        <v>17</v>
      </c>
      <c r="F23" s="34" t="s">
        <v>177</v>
      </c>
      <c r="G23" s="34" t="s">
        <v>24</v>
      </c>
      <c r="H23" s="36">
        <v>15723.19</v>
      </c>
      <c r="I23" s="24" t="s">
        <v>19</v>
      </c>
      <c r="J23" s="24" t="s">
        <v>178</v>
      </c>
      <c r="K23" s="24" t="s">
        <v>24</v>
      </c>
      <c r="L23">
        <v>1.57</v>
      </c>
    </row>
    <row r="24" ht="27.4" customHeight="1" spans="1:13">
      <c r="A24" s="24">
        <v>19</v>
      </c>
      <c r="B24" s="37" t="s">
        <v>26</v>
      </c>
      <c r="C24" s="37" t="s">
        <v>26</v>
      </c>
      <c r="D24" s="37" t="s">
        <v>82</v>
      </c>
      <c r="E24" s="37" t="s">
        <v>83</v>
      </c>
      <c r="F24" s="37" t="s">
        <v>84</v>
      </c>
      <c r="G24" s="37">
        <v>21.32</v>
      </c>
      <c r="H24" s="35">
        <v>17765.71</v>
      </c>
      <c r="I24" s="37" t="s">
        <v>39</v>
      </c>
      <c r="J24" s="24" t="s">
        <v>49</v>
      </c>
      <c r="K24" s="24" t="s">
        <v>24</v>
      </c>
    </row>
    <row r="25" ht="30" customHeight="1" spans="1:13">
      <c r="A25" s="24">
        <v>20</v>
      </c>
      <c r="B25" s="37" t="s">
        <v>26</v>
      </c>
      <c r="C25" s="37" t="s">
        <v>26</v>
      </c>
      <c r="D25" s="37" t="s">
        <v>85</v>
      </c>
      <c r="E25" s="37" t="s">
        <v>83</v>
      </c>
      <c r="F25" s="37" t="s">
        <v>86</v>
      </c>
      <c r="G25" s="37">
        <v>12.4</v>
      </c>
      <c r="H25" s="35">
        <v>6614.55</v>
      </c>
      <c r="I25" s="37" t="s">
        <v>39</v>
      </c>
      <c r="J25" s="24" t="s">
        <v>49</v>
      </c>
      <c r="K25" s="24" t="s">
        <v>24</v>
      </c>
    </row>
    <row r="26" ht="30" customHeight="1" spans="1:13">
      <c r="A26" s="24">
        <v>21</v>
      </c>
      <c r="B26" s="37" t="s">
        <v>15</v>
      </c>
      <c r="C26" s="37" t="s">
        <v>15</v>
      </c>
      <c r="D26" s="37" t="s">
        <v>217</v>
      </c>
      <c r="E26" s="37" t="s">
        <v>90</v>
      </c>
      <c r="F26" s="37"/>
      <c r="G26" s="37">
        <v>90.1</v>
      </c>
      <c r="H26" s="38">
        <v>148100</v>
      </c>
      <c r="I26" s="37" t="s">
        <v>39</v>
      </c>
      <c r="J26" s="24"/>
      <c r="K26" s="24"/>
      <c r="L26" s="39">
        <v>14.81</v>
      </c>
      <c r="M26" t="s">
        <v>218</v>
      </c>
    </row>
    <row r="27" ht="30" customHeight="1" spans="1:13">
      <c r="A27" s="24">
        <v>22</v>
      </c>
      <c r="B27" s="37" t="s">
        <v>219</v>
      </c>
      <c r="C27" s="37" t="s">
        <v>219</v>
      </c>
      <c r="D27" s="37" t="s">
        <v>220</v>
      </c>
      <c r="E27" s="37" t="s">
        <v>221</v>
      </c>
      <c r="F27" s="37"/>
      <c r="G27" s="37"/>
      <c r="H27" s="38">
        <f>2859.57+2767.34+2157.41</f>
        <v>7784.32</v>
      </c>
      <c r="I27" s="37" t="s">
        <v>39</v>
      </c>
      <c r="J27" s="24"/>
      <c r="K27" s="24"/>
      <c r="L27" s="39">
        <v>0.78</v>
      </c>
    </row>
    <row r="28" ht="15" customHeight="1" spans="1:13">
      <c r="A28" s="26" t="s">
        <v>87</v>
      </c>
      <c r="B28" s="26"/>
      <c r="C28" s="26"/>
      <c r="D28" s="26"/>
      <c r="E28" s="26"/>
      <c r="F28" s="26"/>
      <c r="G28" s="27">
        <f>SUM(G5:G27)</f>
        <v>998.97</v>
      </c>
      <c r="H28" s="27">
        <f>SUM(H5:H27)</f>
        <v>1343775.32</v>
      </c>
      <c r="I28" s="26" t="s">
        <v>24</v>
      </c>
      <c r="J28" s="28" t="s">
        <v>24</v>
      </c>
      <c r="K28" s="28" t="s">
        <v>24</v>
      </c>
    </row>
    <row r="29" ht="22.5" spans="1:13">
      <c r="A29" s="24">
        <v>23</v>
      </c>
      <c r="B29" s="24" t="s">
        <v>88</v>
      </c>
      <c r="C29" s="24" t="s">
        <v>88</v>
      </c>
      <c r="D29" s="24" t="s">
        <v>89</v>
      </c>
      <c r="E29" s="24" t="s">
        <v>90</v>
      </c>
      <c r="F29" s="24" t="s">
        <v>91</v>
      </c>
      <c r="G29" s="24">
        <v>98.88</v>
      </c>
      <c r="H29" s="25">
        <v>134651.46</v>
      </c>
      <c r="I29" s="24" t="s">
        <v>39</v>
      </c>
      <c r="J29" s="24" t="s">
        <v>20</v>
      </c>
      <c r="K29" s="24" t="s">
        <v>92</v>
      </c>
      <c r="L29">
        <v>10.86</v>
      </c>
    </row>
    <row r="30" ht="39" customHeight="1" spans="1:13">
      <c r="A30" s="24">
        <v>24</v>
      </c>
      <c r="B30" s="24" t="s">
        <v>88</v>
      </c>
      <c r="C30" s="24" t="s">
        <v>93</v>
      </c>
      <c r="D30" s="24" t="s">
        <v>94</v>
      </c>
      <c r="E30" s="24" t="s">
        <v>17</v>
      </c>
      <c r="F30" s="24" t="s">
        <v>95</v>
      </c>
      <c r="G30" s="24">
        <v>6.85</v>
      </c>
      <c r="H30" s="24" t="s">
        <v>96</v>
      </c>
      <c r="I30" s="24" t="s">
        <v>39</v>
      </c>
      <c r="J30" s="24" t="s">
        <v>97</v>
      </c>
      <c r="K30" s="40" t="s">
        <v>98</v>
      </c>
      <c r="L30">
        <v>0.96</v>
      </c>
    </row>
    <row r="31" ht="41" customHeight="1" spans="1:13">
      <c r="A31" s="24">
        <v>25</v>
      </c>
      <c r="B31" s="24" t="s">
        <v>88</v>
      </c>
      <c r="C31" s="24" t="s">
        <v>88</v>
      </c>
      <c r="D31" s="24" t="s">
        <v>99</v>
      </c>
      <c r="E31" s="24" t="s">
        <v>90</v>
      </c>
      <c r="F31" s="24" t="s">
        <v>100</v>
      </c>
      <c r="G31" s="24">
        <v>49.97</v>
      </c>
      <c r="H31" s="25">
        <v>32494.53</v>
      </c>
      <c r="I31" s="24" t="s">
        <v>39</v>
      </c>
      <c r="J31" s="24" t="s">
        <v>20</v>
      </c>
      <c r="K31" s="24" t="s">
        <v>24</v>
      </c>
      <c r="L31">
        <v>3.23</v>
      </c>
    </row>
    <row r="32" ht="38.55" customHeight="1" spans="1:13">
      <c r="A32" s="24">
        <v>26</v>
      </c>
      <c r="B32" s="37" t="s">
        <v>88</v>
      </c>
      <c r="C32" s="37" t="s">
        <v>93</v>
      </c>
      <c r="D32" s="37" t="s">
        <v>101</v>
      </c>
      <c r="E32" s="34" t="s">
        <v>90</v>
      </c>
      <c r="F32" s="37" t="s">
        <v>102</v>
      </c>
      <c r="G32" s="37">
        <v>114.42</v>
      </c>
      <c r="H32" s="25">
        <v>153770.88</v>
      </c>
      <c r="I32" s="37" t="s">
        <v>39</v>
      </c>
      <c r="J32" s="24" t="s">
        <v>20</v>
      </c>
      <c r="K32" s="24" t="s">
        <v>24</v>
      </c>
      <c r="L32">
        <v>15.49</v>
      </c>
      <c r="M32" s="41"/>
    </row>
    <row r="33" ht="35.85" customHeight="1" spans="1:12">
      <c r="A33" s="24">
        <v>27</v>
      </c>
      <c r="B33" s="37" t="s">
        <v>88</v>
      </c>
      <c r="C33" s="37" t="s">
        <v>88</v>
      </c>
      <c r="D33" s="37" t="s">
        <v>103</v>
      </c>
      <c r="E33" s="34" t="s">
        <v>90</v>
      </c>
      <c r="F33" s="37" t="s">
        <v>104</v>
      </c>
      <c r="G33" s="37"/>
      <c r="H33" s="25">
        <v>39690.2</v>
      </c>
      <c r="I33" s="37" t="s">
        <v>39</v>
      </c>
      <c r="J33" s="24" t="s">
        <v>20</v>
      </c>
      <c r="K33" s="24" t="s">
        <v>24</v>
      </c>
      <c r="L33">
        <v>3.41</v>
      </c>
    </row>
    <row r="34" ht="33" customHeight="1" spans="1:12">
      <c r="A34" s="24">
        <v>28</v>
      </c>
      <c r="B34" s="24" t="s">
        <v>88</v>
      </c>
      <c r="C34" s="24" t="s">
        <v>88</v>
      </c>
      <c r="D34" s="24" t="s">
        <v>105</v>
      </c>
      <c r="E34" s="24" t="s">
        <v>90</v>
      </c>
      <c r="F34" s="24" t="s">
        <v>106</v>
      </c>
      <c r="G34" s="24">
        <v>521.38</v>
      </c>
      <c r="H34" s="25">
        <v>107317.44</v>
      </c>
      <c r="I34" s="24" t="s">
        <v>39</v>
      </c>
      <c r="J34" s="24" t="s">
        <v>20</v>
      </c>
      <c r="K34" s="24" t="s">
        <v>24</v>
      </c>
      <c r="L34">
        <v>10.04</v>
      </c>
    </row>
    <row r="35" ht="33" customHeight="1" spans="1:12">
      <c r="A35" s="24">
        <v>29</v>
      </c>
      <c r="B35" s="24" t="s">
        <v>88</v>
      </c>
      <c r="C35" s="24" t="s">
        <v>88</v>
      </c>
      <c r="D35" s="24" t="s">
        <v>107</v>
      </c>
      <c r="E35" s="24" t="s">
        <v>90</v>
      </c>
      <c r="F35" s="24" t="s">
        <v>106</v>
      </c>
      <c r="G35" s="24"/>
      <c r="H35" s="25">
        <v>153650.47</v>
      </c>
      <c r="I35" s="24" t="s">
        <v>39</v>
      </c>
      <c r="J35" s="24" t="s">
        <v>20</v>
      </c>
      <c r="K35" s="24" t="s">
        <v>24</v>
      </c>
      <c r="L35">
        <v>15.07</v>
      </c>
    </row>
    <row r="36" ht="33.75" customHeight="1" spans="1:12">
      <c r="A36" s="24">
        <v>30</v>
      </c>
      <c r="B36" s="24" t="s">
        <v>88</v>
      </c>
      <c r="C36" s="24" t="s">
        <v>88</v>
      </c>
      <c r="D36" s="24" t="s">
        <v>108</v>
      </c>
      <c r="E36" s="24" t="s">
        <v>90</v>
      </c>
      <c r="F36" s="24" t="s">
        <v>109</v>
      </c>
      <c r="G36" s="24"/>
      <c r="H36" s="25">
        <v>83997.95</v>
      </c>
      <c r="I36" s="24" t="s">
        <v>39</v>
      </c>
      <c r="J36" s="24" t="s">
        <v>20</v>
      </c>
      <c r="K36" s="24" t="s">
        <v>24</v>
      </c>
      <c r="L36">
        <v>8.14</v>
      </c>
    </row>
    <row r="37" ht="20" customHeight="1" spans="1:12">
      <c r="A37" s="24">
        <v>31</v>
      </c>
      <c r="B37" s="24" t="s">
        <v>88</v>
      </c>
      <c r="C37" s="42" t="s">
        <v>88</v>
      </c>
      <c r="D37" s="24" t="s">
        <v>110</v>
      </c>
      <c r="E37" s="24" t="s">
        <v>17</v>
      </c>
      <c r="F37" s="24" t="s">
        <v>111</v>
      </c>
      <c r="G37" s="24">
        <v>11.68</v>
      </c>
      <c r="H37" s="25">
        <v>13025.06</v>
      </c>
      <c r="I37" s="24" t="s">
        <v>19</v>
      </c>
      <c r="J37" s="24" t="s">
        <v>20</v>
      </c>
      <c r="K37" s="24" t="s">
        <v>24</v>
      </c>
      <c r="L37">
        <v>1.3</v>
      </c>
    </row>
    <row r="38" ht="45" spans="1:12">
      <c r="A38" s="24">
        <v>32</v>
      </c>
      <c r="B38" s="24" t="s">
        <v>112</v>
      </c>
      <c r="C38" s="24" t="s">
        <v>112</v>
      </c>
      <c r="D38" s="24" t="s">
        <v>113</v>
      </c>
      <c r="E38" s="24" t="s">
        <v>90</v>
      </c>
      <c r="F38" s="24" t="s">
        <v>114</v>
      </c>
      <c r="G38" s="24">
        <v>22.43</v>
      </c>
      <c r="H38" s="25">
        <v>24284.33</v>
      </c>
      <c r="I38" s="24" t="s">
        <v>39</v>
      </c>
      <c r="J38" s="24" t="s">
        <v>115</v>
      </c>
      <c r="K38" s="24" t="s">
        <v>24</v>
      </c>
      <c r="L38">
        <v>2.37</v>
      </c>
    </row>
    <row r="39" ht="45" spans="1:12">
      <c r="A39" s="24">
        <v>33</v>
      </c>
      <c r="B39" s="24" t="s">
        <v>116</v>
      </c>
      <c r="C39" s="24" t="s">
        <v>116</v>
      </c>
      <c r="D39" s="24" t="s">
        <v>222</v>
      </c>
      <c r="E39" s="24" t="s">
        <v>90</v>
      </c>
      <c r="F39" s="24" t="s">
        <v>118</v>
      </c>
      <c r="G39" s="24">
        <v>100</v>
      </c>
      <c r="H39" s="25">
        <v>108000</v>
      </c>
      <c r="I39" s="24" t="s">
        <v>39</v>
      </c>
      <c r="J39" s="24" t="s">
        <v>223</v>
      </c>
      <c r="K39" s="24"/>
      <c r="L39">
        <v>10.08</v>
      </c>
    </row>
    <row r="40" ht="29" customHeight="1" spans="1:12">
      <c r="A40" s="24">
        <v>34</v>
      </c>
      <c r="B40" s="24" t="s">
        <v>88</v>
      </c>
      <c r="C40" s="24" t="s">
        <v>88</v>
      </c>
      <c r="D40" s="43" t="s">
        <v>224</v>
      </c>
      <c r="E40" s="43" t="s">
        <v>90</v>
      </c>
      <c r="F40" s="43"/>
      <c r="G40" s="43">
        <v>133.7</v>
      </c>
      <c r="H40" s="44">
        <v>220000</v>
      </c>
      <c r="I40" s="24" t="s">
        <v>39</v>
      </c>
      <c r="J40" s="24"/>
      <c r="K40" s="24"/>
      <c r="L40">
        <v>5.31</v>
      </c>
    </row>
    <row r="41" ht="15" customHeight="1" spans="1:12">
      <c r="A41" s="26" t="s">
        <v>119</v>
      </c>
      <c r="B41" s="26"/>
      <c r="C41" s="26"/>
      <c r="D41" s="26"/>
      <c r="E41" s="26"/>
      <c r="F41" s="26"/>
      <c r="G41" s="26">
        <f>SUM(G30:G39)</f>
        <v>826.73</v>
      </c>
      <c r="H41" s="27">
        <f>SUM(H29:H40)</f>
        <v>1070882.32</v>
      </c>
      <c r="I41" s="26" t="s">
        <v>24</v>
      </c>
      <c r="J41" s="28" t="s">
        <v>24</v>
      </c>
      <c r="K41" s="28" t="s">
        <v>24</v>
      </c>
    </row>
    <row r="42" ht="57" customHeight="1" spans="1:12">
      <c r="A42" s="34">
        <v>35</v>
      </c>
      <c r="B42" s="34" t="s">
        <v>93</v>
      </c>
      <c r="C42" s="34" t="s">
        <v>93</v>
      </c>
      <c r="D42" s="34" t="s">
        <v>120</v>
      </c>
      <c r="E42" s="34" t="s">
        <v>17</v>
      </c>
      <c r="F42" s="34" t="s">
        <v>121</v>
      </c>
      <c r="G42" s="34">
        <v>42.4</v>
      </c>
      <c r="H42" s="36">
        <v>47819.38</v>
      </c>
      <c r="I42" s="34" t="s">
        <v>30</v>
      </c>
      <c r="J42" s="24" t="s">
        <v>225</v>
      </c>
      <c r="K42" s="24" t="s">
        <v>122</v>
      </c>
      <c r="L42">
        <v>2.77</v>
      </c>
    </row>
    <row r="43" ht="33" customHeight="1" spans="1:12">
      <c r="A43" s="34">
        <v>36</v>
      </c>
      <c r="B43" s="34" t="s">
        <v>93</v>
      </c>
      <c r="C43" s="34" t="s">
        <v>93</v>
      </c>
      <c r="D43" s="34" t="s">
        <v>123</v>
      </c>
      <c r="E43" s="34" t="s">
        <v>17</v>
      </c>
      <c r="F43" s="34" t="s">
        <v>124</v>
      </c>
      <c r="G43" s="34">
        <v>0.62</v>
      </c>
      <c r="H43" s="34">
        <v>832.2</v>
      </c>
      <c r="I43" s="34" t="s">
        <v>39</v>
      </c>
      <c r="J43" s="24" t="s">
        <v>225</v>
      </c>
      <c r="K43" s="24" t="s">
        <v>125</v>
      </c>
      <c r="L43">
        <v>0.04</v>
      </c>
    </row>
    <row r="44" ht="44" customHeight="1" spans="1:12">
      <c r="A44" s="34">
        <v>37</v>
      </c>
      <c r="B44" s="34" t="s">
        <v>93</v>
      </c>
      <c r="C44" s="34" t="s">
        <v>126</v>
      </c>
      <c r="D44" s="34" t="s">
        <v>127</v>
      </c>
      <c r="E44" s="34" t="s">
        <v>90</v>
      </c>
      <c r="F44" s="34" t="s">
        <v>128</v>
      </c>
      <c r="G44" s="34">
        <v>80</v>
      </c>
      <c r="H44" s="25">
        <v>25521</v>
      </c>
      <c r="I44" s="34" t="s">
        <v>39</v>
      </c>
      <c r="J44" s="24" t="s">
        <v>20</v>
      </c>
      <c r="K44" s="24" t="s">
        <v>130</v>
      </c>
      <c r="L44">
        <v>1.6</v>
      </c>
    </row>
    <row r="45" ht="31" customHeight="1" spans="1:12">
      <c r="A45" s="34">
        <v>38</v>
      </c>
      <c r="B45" s="34" t="s">
        <v>93</v>
      </c>
      <c r="C45" s="34" t="s">
        <v>93</v>
      </c>
      <c r="D45" s="34" t="s">
        <v>131</v>
      </c>
      <c r="E45" s="34" t="s">
        <v>90</v>
      </c>
      <c r="F45" s="34" t="s">
        <v>132</v>
      </c>
      <c r="G45" s="34">
        <v>28.83</v>
      </c>
      <c r="H45" s="36">
        <v>22827.14</v>
      </c>
      <c r="I45" s="34" t="s">
        <v>30</v>
      </c>
      <c r="J45" s="24" t="s">
        <v>226</v>
      </c>
      <c r="K45" s="24" t="s">
        <v>24</v>
      </c>
      <c r="L45">
        <v>2.28</v>
      </c>
    </row>
    <row r="46" ht="33" customHeight="1" spans="1:12">
      <c r="A46" s="34">
        <v>39</v>
      </c>
      <c r="B46" s="34" t="s">
        <v>93</v>
      </c>
      <c r="C46" s="34" t="s">
        <v>93</v>
      </c>
      <c r="D46" s="34" t="s">
        <v>133</v>
      </c>
      <c r="E46" s="34" t="s">
        <v>90</v>
      </c>
      <c r="F46" s="34" t="s">
        <v>134</v>
      </c>
      <c r="G46" s="34">
        <v>41.07</v>
      </c>
      <c r="H46" s="36">
        <v>33688.8</v>
      </c>
      <c r="I46" s="34" t="s">
        <v>39</v>
      </c>
      <c r="J46" s="24" t="s">
        <v>40</v>
      </c>
      <c r="K46" s="24" t="s">
        <v>24</v>
      </c>
      <c r="L46">
        <v>3.37</v>
      </c>
    </row>
    <row r="47" ht="24" customHeight="1" spans="1:12">
      <c r="A47" s="34">
        <v>40</v>
      </c>
      <c r="B47" s="34" t="s">
        <v>93</v>
      </c>
      <c r="C47" s="45" t="s">
        <v>93</v>
      </c>
      <c r="D47" s="24" t="s">
        <v>135</v>
      </c>
      <c r="E47" s="34" t="s">
        <v>17</v>
      </c>
      <c r="F47" s="34" t="s">
        <v>136</v>
      </c>
      <c r="G47" s="34" t="s">
        <v>24</v>
      </c>
      <c r="H47" s="36">
        <v>4324.79</v>
      </c>
      <c r="I47" s="34" t="s">
        <v>39</v>
      </c>
      <c r="J47" s="24" t="s">
        <v>227</v>
      </c>
      <c r="K47" s="24" t="s">
        <v>24</v>
      </c>
      <c r="L47">
        <v>0.43</v>
      </c>
    </row>
    <row r="48" ht="24" customHeight="1" spans="1:12">
      <c r="A48" s="34">
        <v>41</v>
      </c>
      <c r="B48" s="34" t="s">
        <v>93</v>
      </c>
      <c r="C48" s="34" t="s">
        <v>93</v>
      </c>
      <c r="D48" s="24" t="s">
        <v>228</v>
      </c>
      <c r="E48" s="34" t="s">
        <v>229</v>
      </c>
      <c r="F48" s="34"/>
      <c r="G48" s="34"/>
      <c r="H48" s="38">
        <v>12805.53</v>
      </c>
      <c r="I48" s="34"/>
      <c r="J48" s="24"/>
      <c r="K48" s="24"/>
    </row>
    <row r="49" ht="18" customHeight="1" spans="1:13">
      <c r="A49" s="26" t="s">
        <v>137</v>
      </c>
      <c r="B49" s="26"/>
      <c r="C49" s="26"/>
      <c r="D49" s="26"/>
      <c r="E49" s="26"/>
      <c r="F49" s="26"/>
      <c r="G49" s="26">
        <f>+G42+G43+G44+G45+G46</f>
        <v>192.92</v>
      </c>
      <c r="H49" s="27">
        <f>SUM(H42:H48)</f>
        <v>147818.84</v>
      </c>
      <c r="I49" s="26" t="s">
        <v>24</v>
      </c>
      <c r="J49" s="28" t="s">
        <v>24</v>
      </c>
      <c r="K49" s="28" t="s">
        <v>24</v>
      </c>
    </row>
    <row r="50" s="1" customFormat="1" ht="54.9" customHeight="1" spans="1:13">
      <c r="A50" s="24">
        <v>42</v>
      </c>
      <c r="B50" s="24" t="s">
        <v>138</v>
      </c>
      <c r="C50" s="24" t="s">
        <v>138</v>
      </c>
      <c r="D50" s="24" t="s">
        <v>139</v>
      </c>
      <c r="E50" s="24" t="s">
        <v>90</v>
      </c>
      <c r="F50" s="24" t="s">
        <v>140</v>
      </c>
      <c r="G50" s="24">
        <v>54</v>
      </c>
      <c r="H50" s="25">
        <v>62919</v>
      </c>
      <c r="I50" s="24" t="s">
        <v>39</v>
      </c>
      <c r="J50" s="24" t="s">
        <v>142</v>
      </c>
      <c r="K50" s="28" t="s">
        <v>24</v>
      </c>
      <c r="L50">
        <v>6.29</v>
      </c>
    </row>
    <row r="51" s="1" customFormat="1" ht="18" customHeight="1" spans="1:13">
      <c r="A51" s="26" t="s">
        <v>143</v>
      </c>
      <c r="B51" s="26"/>
      <c r="C51" s="26"/>
      <c r="D51" s="26"/>
      <c r="E51" s="26"/>
      <c r="F51" s="26"/>
      <c r="G51" s="26">
        <f>G50</f>
        <v>54</v>
      </c>
      <c r="H51" s="26">
        <f>H50</f>
        <v>62919</v>
      </c>
      <c r="I51" s="26" t="s">
        <v>24</v>
      </c>
      <c r="J51" s="28" t="s">
        <v>24</v>
      </c>
      <c r="K51" s="28" t="s">
        <v>24</v>
      </c>
      <c r="L51"/>
    </row>
    <row r="52" ht="28" customHeight="1" spans="1:13">
      <c r="A52" s="24">
        <v>43</v>
      </c>
      <c r="B52" s="24" t="s">
        <v>155</v>
      </c>
      <c r="C52" s="24" t="s">
        <v>88</v>
      </c>
      <c r="D52" s="24" t="s">
        <v>156</v>
      </c>
      <c r="E52" s="24" t="s">
        <v>90</v>
      </c>
      <c r="F52" s="24" t="s">
        <v>157</v>
      </c>
      <c r="G52" s="34" t="s">
        <v>24</v>
      </c>
      <c r="H52" s="36">
        <v>44145.08</v>
      </c>
      <c r="I52" s="34" t="s">
        <v>19</v>
      </c>
      <c r="J52" s="24" t="s">
        <v>40</v>
      </c>
      <c r="K52" s="24" t="s">
        <v>24</v>
      </c>
      <c r="L52">
        <v>3.25</v>
      </c>
    </row>
    <row r="53" ht="28" customHeight="1" spans="1:13">
      <c r="A53" s="24">
        <v>44</v>
      </c>
      <c r="B53" s="24" t="s">
        <v>155</v>
      </c>
      <c r="C53" s="24" t="s">
        <v>155</v>
      </c>
      <c r="D53" s="24" t="s">
        <v>230</v>
      </c>
      <c r="E53" s="24" t="s">
        <v>231</v>
      </c>
      <c r="F53" s="24" t="s">
        <v>160</v>
      </c>
      <c r="G53" s="34">
        <v>102.6</v>
      </c>
      <c r="H53" s="36">
        <v>60300.75</v>
      </c>
      <c r="I53" s="34" t="s">
        <v>39</v>
      </c>
      <c r="J53" s="24" t="s">
        <v>161</v>
      </c>
      <c r="K53" s="24" t="s">
        <v>24</v>
      </c>
      <c r="L53">
        <v>6.03</v>
      </c>
    </row>
    <row r="54" ht="28" customHeight="1" spans="1:13">
      <c r="A54" s="24">
        <v>45</v>
      </c>
      <c r="B54" s="24" t="s">
        <v>155</v>
      </c>
      <c r="C54" s="24" t="s">
        <v>155</v>
      </c>
      <c r="D54" s="24" t="s">
        <v>232</v>
      </c>
      <c r="E54" s="24" t="s">
        <v>231</v>
      </c>
      <c r="F54" s="24"/>
      <c r="G54" s="34">
        <v>30.1</v>
      </c>
      <c r="H54" s="38">
        <v>12000</v>
      </c>
      <c r="I54" s="34"/>
      <c r="J54" s="24"/>
      <c r="K54" s="24"/>
      <c r="L54">
        <v>1.2</v>
      </c>
    </row>
    <row r="55" ht="71.6" customHeight="1" spans="1:13">
      <c r="A55" s="24">
        <v>46</v>
      </c>
      <c r="B55" s="24" t="s">
        <v>155</v>
      </c>
      <c r="C55" s="24" t="s">
        <v>155</v>
      </c>
      <c r="D55" s="24" t="s">
        <v>162</v>
      </c>
      <c r="E55" s="24" t="s">
        <v>163</v>
      </c>
      <c r="F55" s="24" t="s">
        <v>164</v>
      </c>
      <c r="G55" s="34">
        <v>45.37</v>
      </c>
      <c r="H55" s="38">
        <v>34600</v>
      </c>
      <c r="I55" s="34" t="s">
        <v>30</v>
      </c>
      <c r="J55" s="24" t="s">
        <v>166</v>
      </c>
      <c r="K55" s="24" t="s">
        <v>24</v>
      </c>
      <c r="L55">
        <v>3.46</v>
      </c>
      <c r="M55" s="36" t="s">
        <v>165</v>
      </c>
    </row>
    <row r="56" customFormat="1" ht="33" customHeight="1" spans="1:13">
      <c r="A56" s="24">
        <v>47</v>
      </c>
      <c r="B56" s="24" t="s">
        <v>155</v>
      </c>
      <c r="C56" s="24" t="s">
        <v>155</v>
      </c>
      <c r="D56" s="24" t="s">
        <v>233</v>
      </c>
      <c r="E56" s="24" t="s">
        <v>90</v>
      </c>
      <c r="F56" s="24"/>
      <c r="G56" s="34">
        <v>46.3</v>
      </c>
      <c r="H56" s="38">
        <v>25000</v>
      </c>
      <c r="I56" s="34"/>
      <c r="J56" s="24"/>
      <c r="K56" s="24"/>
      <c r="L56">
        <v>2.5</v>
      </c>
    </row>
    <row r="57" customFormat="1" ht="25" customHeight="1" spans="1:13">
      <c r="A57" s="24">
        <v>48</v>
      </c>
      <c r="B57" s="24" t="s">
        <v>155</v>
      </c>
      <c r="C57" s="24" t="s">
        <v>155</v>
      </c>
      <c r="D57" s="24" t="s">
        <v>234</v>
      </c>
      <c r="E57" s="24" t="s">
        <v>90</v>
      </c>
      <c r="F57" s="24"/>
      <c r="G57" s="34">
        <v>99</v>
      </c>
      <c r="H57" s="38">
        <v>10900</v>
      </c>
      <c r="I57" s="34"/>
      <c r="J57" s="24"/>
      <c r="K57" s="24"/>
      <c r="L57">
        <v>10.9</v>
      </c>
    </row>
    <row r="58" customFormat="1" ht="25" customHeight="1" spans="1:13">
      <c r="A58" s="24">
        <v>49</v>
      </c>
      <c r="B58" s="24" t="s">
        <v>155</v>
      </c>
      <c r="C58" s="24" t="s">
        <v>155</v>
      </c>
      <c r="D58" s="24" t="s">
        <v>235</v>
      </c>
      <c r="E58" s="24" t="s">
        <v>90</v>
      </c>
      <c r="F58" s="24"/>
      <c r="G58" s="34">
        <v>158.5</v>
      </c>
      <c r="H58" s="38">
        <v>72000</v>
      </c>
      <c r="I58" s="34"/>
      <c r="J58" s="24"/>
      <c r="K58" s="24"/>
      <c r="L58">
        <v>7.2</v>
      </c>
    </row>
    <row r="59" customFormat="1" ht="25" customHeight="1" spans="1:13">
      <c r="A59" s="24">
        <v>50</v>
      </c>
      <c r="B59" s="24" t="s">
        <v>155</v>
      </c>
      <c r="C59" s="24" t="s">
        <v>155</v>
      </c>
      <c r="D59" s="24" t="s">
        <v>236</v>
      </c>
      <c r="E59" s="24" t="s">
        <v>231</v>
      </c>
      <c r="F59" s="24"/>
      <c r="G59" s="34">
        <v>300</v>
      </c>
      <c r="H59" s="38">
        <v>242000</v>
      </c>
      <c r="I59" s="34"/>
      <c r="J59" s="24"/>
      <c r="K59" s="24"/>
      <c r="L59">
        <v>24.2</v>
      </c>
    </row>
    <row r="60" customFormat="1" ht="15" customHeight="1" spans="1:13">
      <c r="A60" s="26" t="s">
        <v>167</v>
      </c>
      <c r="B60" s="26"/>
      <c r="C60" s="26"/>
      <c r="D60" s="26"/>
      <c r="E60" s="26"/>
      <c r="F60" s="26"/>
      <c r="G60" s="26">
        <f>+G55+G53</f>
        <v>147.97</v>
      </c>
      <c r="H60" s="27">
        <f>SUM(H52:H59)</f>
        <v>500945.83</v>
      </c>
      <c r="I60" s="26" t="s">
        <v>24</v>
      </c>
      <c r="J60" s="28" t="s">
        <v>24</v>
      </c>
      <c r="K60" s="28" t="s">
        <v>24</v>
      </c>
    </row>
    <row r="61" ht="15" customHeight="1" spans="1:13">
      <c r="A61" s="26" t="s">
        <v>168</v>
      </c>
      <c r="B61" s="26"/>
      <c r="C61" s="26"/>
      <c r="D61" s="26"/>
      <c r="E61" s="26"/>
      <c r="F61" s="26"/>
      <c r="G61" s="26" t="e">
        <f>+G41+G49+G51+#REF!+G60</f>
        <v>#REF!</v>
      </c>
      <c r="H61" s="27">
        <f>+H41+H49+H51+H60</f>
        <v>1782565.99</v>
      </c>
      <c r="I61" s="26" t="s">
        <v>24</v>
      </c>
      <c r="J61" s="28" t="s">
        <v>24</v>
      </c>
      <c r="K61" s="28" t="s">
        <v>24</v>
      </c>
    </row>
    <row r="62" ht="31.5" customHeight="1" spans="1:13">
      <c r="A62" s="24">
        <v>51</v>
      </c>
      <c r="B62" s="24" t="s">
        <v>169</v>
      </c>
      <c r="C62" s="24" t="s">
        <v>169</v>
      </c>
      <c r="D62" s="24" t="s">
        <v>170</v>
      </c>
      <c r="E62" s="24" t="s">
        <v>17</v>
      </c>
      <c r="F62" s="24" t="s">
        <v>171</v>
      </c>
      <c r="G62" s="24" t="s">
        <v>24</v>
      </c>
      <c r="H62" s="24">
        <v>559.56</v>
      </c>
      <c r="I62" s="24" t="s">
        <v>31</v>
      </c>
      <c r="J62" s="24" t="s">
        <v>20</v>
      </c>
      <c r="K62" s="24" t="s">
        <v>24</v>
      </c>
      <c r="L62">
        <v>0.056</v>
      </c>
    </row>
    <row r="63" ht="35.25" customHeight="1" spans="1:13">
      <c r="A63" s="24">
        <v>52</v>
      </c>
      <c r="B63" s="24" t="s">
        <v>169</v>
      </c>
      <c r="C63" s="24" t="s">
        <v>169</v>
      </c>
      <c r="D63" s="24" t="s">
        <v>172</v>
      </c>
      <c r="E63" s="24" t="s">
        <v>17</v>
      </c>
      <c r="F63" s="24" t="s">
        <v>173</v>
      </c>
      <c r="G63" s="24" t="s">
        <v>24</v>
      </c>
      <c r="H63" s="24">
        <v>737.42</v>
      </c>
      <c r="I63" s="24" t="s">
        <v>31</v>
      </c>
      <c r="J63" s="24" t="s">
        <v>20</v>
      </c>
      <c r="K63" s="24" t="s">
        <v>24</v>
      </c>
      <c r="L63">
        <v>0.06</v>
      </c>
    </row>
    <row r="64" ht="22.5" spans="1:13">
      <c r="A64" s="24">
        <v>53</v>
      </c>
      <c r="B64" s="37" t="s">
        <v>237</v>
      </c>
      <c r="C64" s="37" t="s">
        <v>237</v>
      </c>
      <c r="D64" s="24" t="s">
        <v>50</v>
      </c>
      <c r="E64" s="24" t="s">
        <v>17</v>
      </c>
      <c r="F64" s="24" t="s">
        <v>51</v>
      </c>
      <c r="G64" s="24" t="s">
        <v>24</v>
      </c>
      <c r="H64" s="25">
        <v>63722.12</v>
      </c>
      <c r="I64" s="24" t="s">
        <v>45</v>
      </c>
      <c r="J64" s="24" t="s">
        <v>49</v>
      </c>
      <c r="K64" s="24" t="s">
        <v>46</v>
      </c>
      <c r="L64" s="39">
        <v>2.48</v>
      </c>
      <c r="M64">
        <v>24840.83</v>
      </c>
    </row>
    <row r="65" ht="35.25" customHeight="1" spans="1:12">
      <c r="A65" s="24">
        <v>54</v>
      </c>
      <c r="B65" s="37" t="s">
        <v>237</v>
      </c>
      <c r="C65" s="37" t="s">
        <v>237</v>
      </c>
      <c r="D65" s="24" t="s">
        <v>238</v>
      </c>
      <c r="E65" s="24" t="s">
        <v>90</v>
      </c>
      <c r="F65" s="24"/>
      <c r="G65" s="24"/>
      <c r="H65" s="38">
        <v>95000</v>
      </c>
      <c r="I65" s="24"/>
      <c r="J65" s="24"/>
      <c r="K65" s="24"/>
      <c r="L65" s="39">
        <v>3.6</v>
      </c>
    </row>
    <row r="66" ht="15" customHeight="1" spans="1:12">
      <c r="A66" s="26" t="s">
        <v>174</v>
      </c>
      <c r="B66" s="26"/>
      <c r="C66" s="26"/>
      <c r="D66" s="26"/>
      <c r="E66" s="26"/>
      <c r="F66" s="26"/>
      <c r="G66" s="26">
        <v>0</v>
      </c>
      <c r="H66" s="27">
        <f>SUM(H62:H65)</f>
        <v>160019.1</v>
      </c>
      <c r="I66" s="26" t="s">
        <v>24</v>
      </c>
      <c r="J66" s="28" t="s">
        <v>24</v>
      </c>
      <c r="K66" s="28" t="s">
        <v>24</v>
      </c>
    </row>
    <row r="67" ht="36.9" customHeight="1" spans="1:12">
      <c r="A67" s="34">
        <v>55</v>
      </c>
      <c r="B67" s="34" t="s">
        <v>179</v>
      </c>
      <c r="C67" s="34" t="s">
        <v>180</v>
      </c>
      <c r="D67" s="24" t="s">
        <v>181</v>
      </c>
      <c r="E67" s="34" t="s">
        <v>182</v>
      </c>
      <c r="F67" s="34" t="s">
        <v>183</v>
      </c>
      <c r="G67" s="34">
        <v>937.53</v>
      </c>
      <c r="H67" s="46">
        <v>291875.99</v>
      </c>
      <c r="I67" s="34" t="s">
        <v>39</v>
      </c>
      <c r="J67" s="24" t="s">
        <v>184</v>
      </c>
      <c r="K67" s="24"/>
    </row>
    <row r="68" ht="40.95" customHeight="1" spans="1:12">
      <c r="A68" s="34">
        <v>56</v>
      </c>
      <c r="B68" s="34" t="s">
        <v>175</v>
      </c>
      <c r="C68" s="34" t="s">
        <v>180</v>
      </c>
      <c r="D68" s="24" t="s">
        <v>185</v>
      </c>
      <c r="E68" s="34" t="s">
        <v>182</v>
      </c>
      <c r="F68" s="34" t="s">
        <v>186</v>
      </c>
      <c r="G68" s="34">
        <v>932</v>
      </c>
      <c r="H68" s="46">
        <f>353160.27+5485.96</f>
        <v>358646.23</v>
      </c>
      <c r="I68" s="34" t="s">
        <v>39</v>
      </c>
      <c r="J68" s="24" t="s">
        <v>184</v>
      </c>
      <c r="K68" s="24" t="s">
        <v>187</v>
      </c>
    </row>
    <row r="69" ht="47.3" customHeight="1" spans="1:12">
      <c r="A69" s="34">
        <v>57</v>
      </c>
      <c r="B69" s="34" t="s">
        <v>175</v>
      </c>
      <c r="C69" s="34" t="s">
        <v>180</v>
      </c>
      <c r="D69" s="24" t="s">
        <v>188</v>
      </c>
      <c r="E69" s="34" t="s">
        <v>189</v>
      </c>
      <c r="F69" s="34" t="s">
        <v>190</v>
      </c>
      <c r="G69" s="47">
        <v>122</v>
      </c>
      <c r="H69" s="46">
        <v>127731.83</v>
      </c>
      <c r="I69" s="34" t="s">
        <v>39</v>
      </c>
      <c r="J69" s="24" t="s">
        <v>184</v>
      </c>
      <c r="K69" s="24" t="s">
        <v>191</v>
      </c>
    </row>
    <row r="70" ht="31.5" customHeight="1" spans="1:12">
      <c r="A70" s="34">
        <v>58</v>
      </c>
      <c r="B70" s="34" t="s">
        <v>175</v>
      </c>
      <c r="C70" s="34" t="s">
        <v>192</v>
      </c>
      <c r="D70" s="24" t="s">
        <v>193</v>
      </c>
      <c r="E70" s="34" t="s">
        <v>239</v>
      </c>
      <c r="F70" s="34" t="s">
        <v>190</v>
      </c>
      <c r="G70" s="48"/>
      <c r="H70" s="36">
        <v>58705.89</v>
      </c>
      <c r="I70" s="34" t="s">
        <v>39</v>
      </c>
      <c r="J70" s="24" t="s">
        <v>184</v>
      </c>
      <c r="K70" s="24"/>
    </row>
    <row r="71" ht="31.5" customHeight="1" spans="1:12">
      <c r="A71" s="34">
        <v>59</v>
      </c>
      <c r="B71" s="34" t="s">
        <v>195</v>
      </c>
      <c r="C71" s="34" t="s">
        <v>192</v>
      </c>
      <c r="D71" s="24" t="s">
        <v>196</v>
      </c>
      <c r="E71" s="34" t="s">
        <v>197</v>
      </c>
      <c r="F71" s="34" t="s">
        <v>190</v>
      </c>
      <c r="G71" s="47">
        <v>65</v>
      </c>
      <c r="H71" s="36">
        <f>2187.71+47318.52</f>
        <v>49506.23</v>
      </c>
      <c r="I71" s="34" t="s">
        <v>39</v>
      </c>
      <c r="J71" s="24" t="s">
        <v>184</v>
      </c>
      <c r="K71" s="30" t="s">
        <v>198</v>
      </c>
    </row>
    <row r="72" ht="31.5" customHeight="1" spans="1:12">
      <c r="A72" s="34">
        <v>60</v>
      </c>
      <c r="B72" s="34" t="s">
        <v>195</v>
      </c>
      <c r="C72" s="34" t="s">
        <v>180</v>
      </c>
      <c r="D72" s="24" t="s">
        <v>199</v>
      </c>
      <c r="E72" s="34" t="s">
        <v>200</v>
      </c>
      <c r="F72" s="34" t="s">
        <v>190</v>
      </c>
      <c r="G72" s="48"/>
      <c r="H72" s="36">
        <f>39818.84+37538.35</f>
        <v>77357.19</v>
      </c>
      <c r="I72" s="34" t="s">
        <v>39</v>
      </c>
      <c r="J72" s="24" t="s">
        <v>184</v>
      </c>
      <c r="K72" s="33"/>
    </row>
    <row r="73" ht="37" customHeight="1" spans="1:12">
      <c r="A73" s="34">
        <v>61</v>
      </c>
      <c r="B73" s="34" t="s">
        <v>175</v>
      </c>
      <c r="C73" s="34" t="s">
        <v>201</v>
      </c>
      <c r="D73" s="37" t="s">
        <v>202</v>
      </c>
      <c r="E73" s="34" t="s">
        <v>90</v>
      </c>
      <c r="F73" s="34" t="s">
        <v>203</v>
      </c>
      <c r="G73" s="37">
        <v>245</v>
      </c>
      <c r="H73" s="49">
        <v>53003.73</v>
      </c>
      <c r="I73" s="34" t="s">
        <v>19</v>
      </c>
      <c r="J73" s="24" t="s">
        <v>184</v>
      </c>
      <c r="K73" s="24" t="s">
        <v>205</v>
      </c>
    </row>
    <row r="74" ht="15" customHeight="1" spans="1:12">
      <c r="A74" s="26" t="s">
        <v>206</v>
      </c>
      <c r="B74" s="26"/>
      <c r="C74" s="26"/>
      <c r="D74" s="26"/>
      <c r="E74" s="26"/>
      <c r="F74" s="26"/>
      <c r="G74" s="26">
        <v>0</v>
      </c>
      <c r="H74" s="27">
        <f>SUM(H67:H73)</f>
        <v>1016827.09</v>
      </c>
      <c r="I74" s="26" t="s">
        <v>24</v>
      </c>
      <c r="J74" s="28" t="s">
        <v>24</v>
      </c>
      <c r="K74" s="28" t="s">
        <v>24</v>
      </c>
    </row>
    <row r="75" ht="19.9" customHeight="1" spans="1:12">
      <c r="A75" s="34">
        <v>62</v>
      </c>
      <c r="B75" s="34" t="s">
        <v>207</v>
      </c>
      <c r="C75" s="34" t="s">
        <v>207</v>
      </c>
      <c r="D75" s="37" t="s">
        <v>208</v>
      </c>
      <c r="E75" s="37" t="s">
        <v>90</v>
      </c>
      <c r="F75" s="37" t="s">
        <v>209</v>
      </c>
      <c r="G75" s="37">
        <v>379.22</v>
      </c>
      <c r="H75" s="49">
        <v>71546</v>
      </c>
      <c r="I75" s="37" t="s">
        <v>19</v>
      </c>
      <c r="J75" s="24" t="s">
        <v>178</v>
      </c>
      <c r="K75" s="24" t="s">
        <v>24</v>
      </c>
    </row>
    <row r="76" ht="33" customHeight="1" spans="1:12">
      <c r="A76" s="34">
        <v>63</v>
      </c>
      <c r="B76" s="34" t="s">
        <v>240</v>
      </c>
      <c r="C76" s="34" t="s">
        <v>240</v>
      </c>
      <c r="D76" s="37" t="s">
        <v>241</v>
      </c>
      <c r="E76" s="37" t="s">
        <v>90</v>
      </c>
      <c r="F76" s="37"/>
      <c r="G76" s="50">
        <v>121</v>
      </c>
      <c r="H76" s="51">
        <v>150000</v>
      </c>
      <c r="I76" s="34" t="s">
        <v>39</v>
      </c>
      <c r="J76" s="24"/>
      <c r="K76" s="24"/>
      <c r="L76">
        <v>11.1</v>
      </c>
    </row>
    <row r="77" ht="19.9" customHeight="1" spans="1:12">
      <c r="A77" s="34">
        <v>64</v>
      </c>
      <c r="B77" s="34" t="s">
        <v>240</v>
      </c>
      <c r="C77" s="34" t="s">
        <v>240</v>
      </c>
      <c r="D77" s="37" t="s">
        <v>242</v>
      </c>
      <c r="E77" s="37" t="s">
        <v>90</v>
      </c>
      <c r="F77" s="37"/>
      <c r="G77" s="37">
        <v>210</v>
      </c>
      <c r="H77" s="38">
        <v>132000</v>
      </c>
      <c r="I77" s="34" t="s">
        <v>39</v>
      </c>
      <c r="J77" s="24"/>
      <c r="K77" s="24"/>
      <c r="L77">
        <v>13.2</v>
      </c>
    </row>
    <row r="78" ht="15" customHeight="1" spans="1:12">
      <c r="A78" s="26" t="s">
        <v>210</v>
      </c>
      <c r="B78" s="26"/>
      <c r="C78" s="26"/>
      <c r="D78" s="26"/>
      <c r="E78" s="26"/>
      <c r="F78" s="26"/>
      <c r="G78" s="26">
        <v>379.22</v>
      </c>
      <c r="H78" s="27">
        <f>SUM(H75:H77)</f>
        <v>353546</v>
      </c>
      <c r="I78" s="26" t="s">
        <v>24</v>
      </c>
      <c r="J78" s="28" t="s">
        <v>24</v>
      </c>
      <c r="K78" s="28" t="s">
        <v>24</v>
      </c>
    </row>
    <row r="79" ht="15" customHeight="1" spans="1:12">
      <c r="A79" s="26" t="s">
        <v>211</v>
      </c>
      <c r="B79" s="26"/>
      <c r="C79" s="26"/>
      <c r="D79" s="26"/>
      <c r="E79" s="26"/>
      <c r="F79" s="26"/>
      <c r="G79" s="27">
        <v>2711.32</v>
      </c>
      <c r="H79" s="27">
        <f>H78+H74+H66+H61+H28+H4</f>
        <v>4699835.6</v>
      </c>
      <c r="I79" s="26" t="s">
        <v>24</v>
      </c>
      <c r="J79" s="28" t="s">
        <v>24</v>
      </c>
      <c r="K79" s="28" t="s">
        <v>24</v>
      </c>
    </row>
  </sheetData>
  <sheetProtection formatCells="0" formatColumns="0" formatRows="0" insertRows="0" insertColumns="0" insertHyperlinks="0" deleteColumns="0" deleteRows="0" sort="0" autoFilter="0" pivotTables="0"/>
  <mergeCells count="24">
    <mergeCell ref="A4:F4"/>
    <mergeCell ref="A28:F28"/>
    <mergeCell ref="A41:F41"/>
    <mergeCell ref="A49:F49"/>
    <mergeCell ref="A51:F51"/>
    <mergeCell ref="A60:F60"/>
    <mergeCell ref="A61:F61"/>
    <mergeCell ref="A66:F66"/>
    <mergeCell ref="A74:F74"/>
    <mergeCell ref="A78:F78"/>
    <mergeCell ref="A79:F79"/>
    <mergeCell ref="A5:A8"/>
    <mergeCell ref="B5:B8"/>
    <mergeCell ref="C5:C8"/>
    <mergeCell ref="D5:D8"/>
    <mergeCell ref="E5:E8"/>
    <mergeCell ref="F5:F8"/>
    <mergeCell ref="G5:G8"/>
    <mergeCell ref="G32:G33"/>
    <mergeCell ref="G34:G36"/>
    <mergeCell ref="G69:G70"/>
    <mergeCell ref="G71:G72"/>
    <mergeCell ref="K71:K72"/>
    <mergeCell ref="L5:L8"/>
  </mergeCells>
  <printOptions horizontalCentered="1"/>
  <pageMargins left="0.251388888888889" right="0.251388888888889" top="0.357638888888889" bottom="0.357638888888889" header="0.298611111111111" footer="0.298611111111111"/>
  <pageSetup paperSize="9" fitToHeight="0"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66"/>
  <sheetViews>
    <sheetView tabSelected="1" zoomScale="85" zoomScaleNormal="85" workbookViewId="0">
      <pane ySplit="3" topLeftCell="A49" activePane="bottomLeft" state="frozen"/>
      <selection/>
      <selection pane="bottomLeft" activeCell="A2" sqref="A2:G2"/>
    </sheetView>
  </sheetViews>
  <sheetFormatPr defaultColWidth="9" defaultRowHeight="36" customHeight="1" outlineLevelCol="7"/>
  <cols>
    <col min="1" max="1" width="6.5" customWidth="1"/>
    <col min="2" max="2" width="14.5583333333333" customWidth="1"/>
    <col min="3" max="3" width="11.625" customWidth="1"/>
    <col min="4" max="4" width="11.875" customWidth="1"/>
    <col min="5" max="5" width="25.75" customWidth="1"/>
    <col min="6" max="6" width="11.5166666666667" customWidth="1"/>
    <col min="7" max="7" width="25.25" customWidth="1"/>
    <col min="8" max="8" width="26.2833333333333" customWidth="1"/>
  </cols>
  <sheetData>
    <row r="1" ht="82" customHeight="1" spans="1:7">
      <c r="A1" s="2" t="s">
        <v>243</v>
      </c>
      <c r="B1" s="2"/>
      <c r="C1" s="2"/>
      <c r="D1" s="2"/>
      <c r="E1" s="2"/>
      <c r="F1" s="2"/>
      <c r="G1" s="2"/>
    </row>
    <row r="2" ht="42" customHeight="1" spans="1:7">
      <c r="A2" s="3" t="s">
        <v>244</v>
      </c>
      <c r="B2" s="3"/>
      <c r="C2" s="3"/>
      <c r="D2" s="3"/>
      <c r="E2" s="3"/>
      <c r="F2" s="3"/>
      <c r="G2" s="3"/>
    </row>
    <row r="3" customHeight="1" spans="1:7">
      <c r="A3" s="4" t="s">
        <v>0</v>
      </c>
      <c r="B3" s="4" t="s">
        <v>245</v>
      </c>
      <c r="C3" s="4" t="s">
        <v>1</v>
      </c>
      <c r="D3" s="4" t="s">
        <v>2</v>
      </c>
      <c r="E3" s="4" t="s">
        <v>3</v>
      </c>
      <c r="F3" s="4" t="s">
        <v>4</v>
      </c>
      <c r="G3" s="5" t="s">
        <v>5</v>
      </c>
    </row>
    <row r="4" customHeight="1" spans="1:7">
      <c r="A4" s="6">
        <v>1</v>
      </c>
      <c r="B4" s="7" t="s">
        <v>246</v>
      </c>
      <c r="C4" s="6" t="s">
        <v>14</v>
      </c>
      <c r="D4" s="6" t="s">
        <v>15</v>
      </c>
      <c r="E4" s="6" t="s">
        <v>16</v>
      </c>
      <c r="F4" s="6" t="s">
        <v>17</v>
      </c>
      <c r="G4" s="6" t="s">
        <v>18</v>
      </c>
    </row>
    <row r="5" customHeight="1" spans="1:7">
      <c r="A5" s="6">
        <v>2</v>
      </c>
      <c r="B5" s="8"/>
      <c r="C5" s="6" t="s">
        <v>14</v>
      </c>
      <c r="D5" s="6" t="s">
        <v>15</v>
      </c>
      <c r="E5" s="6" t="s">
        <v>22</v>
      </c>
      <c r="F5" s="6" t="s">
        <v>17</v>
      </c>
      <c r="G5" s="6" t="s">
        <v>23</v>
      </c>
    </row>
    <row r="6" customHeight="1" spans="1:7">
      <c r="A6" s="6">
        <v>3</v>
      </c>
      <c r="B6" s="9" t="s">
        <v>247</v>
      </c>
      <c r="C6" s="6" t="s">
        <v>26</v>
      </c>
      <c r="D6" s="6" t="s">
        <v>15</v>
      </c>
      <c r="E6" s="10" t="s">
        <v>27</v>
      </c>
      <c r="F6" s="6" t="s">
        <v>17</v>
      </c>
      <c r="G6" s="6" t="s">
        <v>28</v>
      </c>
    </row>
    <row r="7" customHeight="1" spans="1:7">
      <c r="A7" s="6">
        <v>4</v>
      </c>
      <c r="B7" s="9"/>
      <c r="C7" s="6" t="s">
        <v>26</v>
      </c>
      <c r="D7" s="6" t="s">
        <v>15</v>
      </c>
      <c r="E7" s="6" t="s">
        <v>32</v>
      </c>
      <c r="F7" s="6" t="s">
        <v>17</v>
      </c>
      <c r="G7" s="6" t="s">
        <v>33</v>
      </c>
    </row>
    <row r="8" customHeight="1" spans="1:7">
      <c r="A8" s="6">
        <v>5</v>
      </c>
      <c r="B8" s="9"/>
      <c r="C8" s="6" t="s">
        <v>26</v>
      </c>
      <c r="D8" s="6" t="s">
        <v>26</v>
      </c>
      <c r="E8" s="6" t="s">
        <v>34</v>
      </c>
      <c r="F8" s="6" t="s">
        <v>17</v>
      </c>
      <c r="G8" s="6" t="s">
        <v>35</v>
      </c>
    </row>
    <row r="9" customHeight="1" spans="1:7">
      <c r="A9" s="6">
        <v>6</v>
      </c>
      <c r="B9" s="9"/>
      <c r="C9" s="11" t="s">
        <v>26</v>
      </c>
      <c r="D9" s="11" t="s">
        <v>26</v>
      </c>
      <c r="E9" s="6" t="s">
        <v>43</v>
      </c>
      <c r="F9" s="6" t="s">
        <v>17</v>
      </c>
      <c r="G9" s="6" t="s">
        <v>44</v>
      </c>
    </row>
    <row r="10" ht="27.75" customHeight="1" spans="1:7">
      <c r="A10" s="6">
        <v>7</v>
      </c>
      <c r="B10" s="9"/>
      <c r="C10" s="11" t="s">
        <v>26</v>
      </c>
      <c r="D10" s="11" t="s">
        <v>26</v>
      </c>
      <c r="E10" s="6" t="s">
        <v>47</v>
      </c>
      <c r="F10" s="6" t="s">
        <v>17</v>
      </c>
      <c r="G10" s="6" t="s">
        <v>48</v>
      </c>
    </row>
    <row r="11" customHeight="1" spans="1:7">
      <c r="A11" s="6">
        <v>8</v>
      </c>
      <c r="B11" s="9"/>
      <c r="C11" s="11" t="s">
        <v>26</v>
      </c>
      <c r="D11" s="11" t="s">
        <v>26</v>
      </c>
      <c r="E11" s="11" t="s">
        <v>55</v>
      </c>
      <c r="F11" s="11" t="s">
        <v>56</v>
      </c>
      <c r="G11" s="11" t="s">
        <v>57</v>
      </c>
    </row>
    <row r="12" customHeight="1" spans="1:7">
      <c r="A12" s="6">
        <v>9</v>
      </c>
      <c r="B12" s="9"/>
      <c r="C12" s="11" t="s">
        <v>26</v>
      </c>
      <c r="D12" s="11" t="s">
        <v>26</v>
      </c>
      <c r="E12" s="11" t="s">
        <v>60</v>
      </c>
      <c r="F12" s="11" t="s">
        <v>56</v>
      </c>
      <c r="G12" s="11" t="s">
        <v>61</v>
      </c>
    </row>
    <row r="13" customHeight="1" spans="1:7">
      <c r="A13" s="6">
        <v>10</v>
      </c>
      <c r="B13" s="9"/>
      <c r="C13" s="6" t="s">
        <v>26</v>
      </c>
      <c r="D13" s="6" t="s">
        <v>26</v>
      </c>
      <c r="E13" s="6" t="s">
        <v>62</v>
      </c>
      <c r="F13" s="6" t="s">
        <v>56</v>
      </c>
      <c r="G13" s="6" t="s">
        <v>63</v>
      </c>
    </row>
    <row r="14" customHeight="1" spans="1:7">
      <c r="A14" s="6">
        <v>11</v>
      </c>
      <c r="B14" s="9"/>
      <c r="C14" s="11" t="s">
        <v>26</v>
      </c>
      <c r="D14" s="11" t="s">
        <v>26</v>
      </c>
      <c r="E14" s="11" t="s">
        <v>65</v>
      </c>
      <c r="F14" s="11" t="s">
        <v>56</v>
      </c>
      <c r="G14" s="11" t="s">
        <v>66</v>
      </c>
    </row>
    <row r="15" customHeight="1" spans="1:7">
      <c r="A15" s="6">
        <v>12</v>
      </c>
      <c r="B15" s="9"/>
      <c r="C15" s="6" t="s">
        <v>26</v>
      </c>
      <c r="D15" s="6" t="s">
        <v>26</v>
      </c>
      <c r="E15" s="6" t="s">
        <v>69</v>
      </c>
      <c r="F15" s="6" t="s">
        <v>56</v>
      </c>
      <c r="G15" s="6" t="s">
        <v>70</v>
      </c>
    </row>
    <row r="16" customHeight="1" spans="1:7">
      <c r="A16" s="6">
        <v>13</v>
      </c>
      <c r="B16" s="9"/>
      <c r="C16" s="6" t="s">
        <v>26</v>
      </c>
      <c r="D16" s="6" t="s">
        <v>26</v>
      </c>
      <c r="E16" s="6" t="s">
        <v>71</v>
      </c>
      <c r="F16" s="6" t="s">
        <v>56</v>
      </c>
      <c r="G16" s="6" t="s">
        <v>72</v>
      </c>
    </row>
    <row r="17" customHeight="1" spans="1:7">
      <c r="A17" s="6">
        <v>14</v>
      </c>
      <c r="B17" s="9"/>
      <c r="C17" s="6" t="s">
        <v>26</v>
      </c>
      <c r="D17" s="6" t="s">
        <v>26</v>
      </c>
      <c r="E17" s="6" t="s">
        <v>73</v>
      </c>
      <c r="F17" s="6" t="s">
        <v>56</v>
      </c>
      <c r="G17" s="6" t="s">
        <v>72</v>
      </c>
    </row>
    <row r="18" customHeight="1" spans="1:7">
      <c r="A18" s="6">
        <v>15</v>
      </c>
      <c r="B18" s="9"/>
      <c r="C18" s="6" t="s">
        <v>26</v>
      </c>
      <c r="D18" s="6" t="s">
        <v>26</v>
      </c>
      <c r="E18" s="6" t="s">
        <v>74</v>
      </c>
      <c r="F18" s="6" t="s">
        <v>56</v>
      </c>
      <c r="G18" s="6" t="s">
        <v>75</v>
      </c>
    </row>
    <row r="19" customHeight="1" spans="1:7">
      <c r="A19" s="6">
        <v>16</v>
      </c>
      <c r="B19" s="9"/>
      <c r="C19" s="11" t="s">
        <v>26</v>
      </c>
      <c r="D19" s="11" t="s">
        <v>26</v>
      </c>
      <c r="E19" s="11" t="s">
        <v>248</v>
      </c>
      <c r="F19" s="11" t="s">
        <v>56</v>
      </c>
      <c r="G19" s="11" t="s">
        <v>61</v>
      </c>
    </row>
    <row r="20" customHeight="1" spans="1:7">
      <c r="A20" s="6">
        <v>17</v>
      </c>
      <c r="B20" s="9"/>
      <c r="C20" s="6" t="s">
        <v>26</v>
      </c>
      <c r="D20" s="6" t="s">
        <v>26</v>
      </c>
      <c r="E20" s="6" t="s">
        <v>249</v>
      </c>
      <c r="F20" s="6" t="s">
        <v>56</v>
      </c>
      <c r="G20" s="11" t="s">
        <v>61</v>
      </c>
    </row>
    <row r="21" customHeight="1" spans="1:7">
      <c r="A21" s="6">
        <v>18</v>
      </c>
      <c r="B21" s="9"/>
      <c r="C21" s="11" t="s">
        <v>78</v>
      </c>
      <c r="D21" s="11" t="s">
        <v>78</v>
      </c>
      <c r="E21" s="12" t="s">
        <v>79</v>
      </c>
      <c r="F21" s="11" t="s">
        <v>56</v>
      </c>
      <c r="G21" s="11" t="s">
        <v>80</v>
      </c>
    </row>
    <row r="22" customHeight="1" spans="1:7">
      <c r="A22" s="6">
        <v>19</v>
      </c>
      <c r="B22" s="9"/>
      <c r="C22" s="12" t="s">
        <v>219</v>
      </c>
      <c r="D22" s="12" t="s">
        <v>219</v>
      </c>
      <c r="E22" s="6" t="s">
        <v>220</v>
      </c>
      <c r="F22" s="12" t="s">
        <v>221</v>
      </c>
      <c r="G22" s="12" t="s">
        <v>250</v>
      </c>
    </row>
    <row r="23" ht="32" customHeight="1" spans="1:7">
      <c r="A23" s="6">
        <v>20</v>
      </c>
      <c r="B23" s="9"/>
      <c r="C23" s="6" t="s">
        <v>251</v>
      </c>
      <c r="D23" s="6" t="s">
        <v>251</v>
      </c>
      <c r="E23" s="6" t="s">
        <v>252</v>
      </c>
      <c r="F23" s="6" t="s">
        <v>221</v>
      </c>
      <c r="G23" s="6" t="s">
        <v>253</v>
      </c>
    </row>
    <row r="24" ht="40.5" customHeight="1" spans="1:7">
      <c r="A24" s="6">
        <v>21</v>
      </c>
      <c r="B24" s="9" t="s">
        <v>247</v>
      </c>
      <c r="C24" s="6" t="s">
        <v>254</v>
      </c>
      <c r="D24" s="6" t="s">
        <v>254</v>
      </c>
      <c r="E24" s="6" t="s">
        <v>255</v>
      </c>
      <c r="F24" s="6" t="s">
        <v>221</v>
      </c>
      <c r="G24" s="6" t="s">
        <v>256</v>
      </c>
    </row>
    <row r="25" ht="40.5" customHeight="1" spans="1:7">
      <c r="A25" s="6">
        <v>22</v>
      </c>
      <c r="B25" s="9"/>
      <c r="C25" s="6" t="s">
        <v>257</v>
      </c>
      <c r="D25" s="6" t="s">
        <v>258</v>
      </c>
      <c r="E25" s="6" t="s">
        <v>259</v>
      </c>
      <c r="F25" s="6" t="s">
        <v>221</v>
      </c>
      <c r="G25" s="6" t="s">
        <v>260</v>
      </c>
    </row>
    <row r="26" ht="32.25" customHeight="1" spans="1:7">
      <c r="A26" s="6">
        <v>23</v>
      </c>
      <c r="B26" s="9"/>
      <c r="C26" s="6" t="s">
        <v>261</v>
      </c>
      <c r="D26" s="6" t="s">
        <v>262</v>
      </c>
      <c r="E26" s="6" t="s">
        <v>263</v>
      </c>
      <c r="F26" s="6" t="s">
        <v>200</v>
      </c>
      <c r="G26" s="6" t="s">
        <v>264</v>
      </c>
    </row>
    <row r="27" ht="42" customHeight="1" spans="1:7">
      <c r="A27" s="6">
        <v>24</v>
      </c>
      <c r="B27" s="9"/>
      <c r="C27" s="6" t="s">
        <v>265</v>
      </c>
      <c r="D27" s="6" t="s">
        <v>265</v>
      </c>
      <c r="E27" s="6" t="s">
        <v>266</v>
      </c>
      <c r="F27" s="6" t="s">
        <v>267</v>
      </c>
      <c r="G27" s="6" t="s">
        <v>268</v>
      </c>
    </row>
    <row r="28" ht="42" customHeight="1" spans="1:7">
      <c r="A28" s="6">
        <v>25</v>
      </c>
      <c r="B28" s="9"/>
      <c r="C28" s="6" t="s">
        <v>26</v>
      </c>
      <c r="D28" s="6" t="s">
        <v>269</v>
      </c>
      <c r="E28" s="6" t="s">
        <v>270</v>
      </c>
      <c r="F28" s="6" t="s">
        <v>271</v>
      </c>
      <c r="G28" s="6" t="s">
        <v>272</v>
      </c>
    </row>
    <row r="29" ht="42" customHeight="1" spans="1:7">
      <c r="A29" s="6">
        <v>26</v>
      </c>
      <c r="B29" s="9"/>
      <c r="C29" s="6" t="s">
        <v>273</v>
      </c>
      <c r="D29" s="6" t="s">
        <v>269</v>
      </c>
      <c r="E29" s="6" t="s">
        <v>274</v>
      </c>
      <c r="F29" s="6" t="s">
        <v>271</v>
      </c>
      <c r="G29" s="6" t="s">
        <v>275</v>
      </c>
    </row>
    <row r="30" ht="42" customHeight="1" spans="1:7">
      <c r="A30" s="6">
        <v>27</v>
      </c>
      <c r="B30" s="9"/>
      <c r="C30" s="6" t="s">
        <v>276</v>
      </c>
      <c r="D30" s="6" t="s">
        <v>269</v>
      </c>
      <c r="E30" s="6" t="s">
        <v>277</v>
      </c>
      <c r="F30" s="6" t="s">
        <v>271</v>
      </c>
      <c r="G30" s="6" t="s">
        <v>278</v>
      </c>
    </row>
    <row r="31" ht="42" customHeight="1" spans="1:7">
      <c r="A31" s="6">
        <v>28</v>
      </c>
      <c r="B31" s="9"/>
      <c r="C31" s="6" t="s">
        <v>279</v>
      </c>
      <c r="D31" s="6" t="s">
        <v>269</v>
      </c>
      <c r="E31" s="6" t="s">
        <v>280</v>
      </c>
      <c r="F31" s="6" t="s">
        <v>271</v>
      </c>
      <c r="G31" s="6" t="s">
        <v>281</v>
      </c>
    </row>
    <row r="32" ht="42" customHeight="1" spans="1:7">
      <c r="A32" s="6">
        <v>29</v>
      </c>
      <c r="B32" s="9"/>
      <c r="C32" s="6" t="s">
        <v>282</v>
      </c>
      <c r="D32" s="6" t="s">
        <v>269</v>
      </c>
      <c r="E32" s="6" t="s">
        <v>283</v>
      </c>
      <c r="F32" s="6" t="s">
        <v>271</v>
      </c>
      <c r="G32" s="6" t="s">
        <v>284</v>
      </c>
    </row>
    <row r="33" ht="42" customHeight="1" spans="1:8">
      <c r="A33" s="6">
        <v>30</v>
      </c>
      <c r="B33" s="9"/>
      <c r="C33" s="6" t="s">
        <v>276</v>
      </c>
      <c r="D33" s="6" t="s">
        <v>269</v>
      </c>
      <c r="E33" s="6" t="s">
        <v>285</v>
      </c>
      <c r="F33" s="6" t="s">
        <v>271</v>
      </c>
      <c r="G33" s="6" t="s">
        <v>286</v>
      </c>
    </row>
    <row r="34" ht="42" customHeight="1" spans="1:8">
      <c r="A34" s="6">
        <v>31</v>
      </c>
      <c r="B34" s="9"/>
      <c r="C34" s="6" t="s">
        <v>287</v>
      </c>
      <c r="D34" s="6" t="s">
        <v>269</v>
      </c>
      <c r="E34" s="6" t="s">
        <v>288</v>
      </c>
      <c r="F34" s="6" t="s">
        <v>271</v>
      </c>
      <c r="G34" s="6" t="s">
        <v>289</v>
      </c>
    </row>
    <row r="35" ht="44.75" customHeight="1" spans="1:8">
      <c r="A35" s="6">
        <v>32</v>
      </c>
      <c r="B35" s="9" t="s">
        <v>290</v>
      </c>
      <c r="C35" s="6" t="s">
        <v>88</v>
      </c>
      <c r="D35" s="6" t="s">
        <v>93</v>
      </c>
      <c r="E35" s="6" t="s">
        <v>94</v>
      </c>
      <c r="F35" s="6" t="s">
        <v>17</v>
      </c>
      <c r="G35" s="6" t="s">
        <v>95</v>
      </c>
    </row>
    <row r="36" ht="46.05" customHeight="1" spans="1:8">
      <c r="A36" s="6">
        <v>33</v>
      </c>
      <c r="B36" s="9"/>
      <c r="C36" s="6" t="s">
        <v>88</v>
      </c>
      <c r="D36" s="13" t="s">
        <v>88</v>
      </c>
      <c r="E36" s="6" t="s">
        <v>110</v>
      </c>
      <c r="F36" s="6" t="s">
        <v>17</v>
      </c>
      <c r="G36" s="6" t="s">
        <v>111</v>
      </c>
    </row>
    <row r="37" ht="46.05" customHeight="1" spans="1:8">
      <c r="A37" s="6">
        <v>34</v>
      </c>
      <c r="B37" s="9"/>
      <c r="C37" s="6" t="s">
        <v>88</v>
      </c>
      <c r="D37" s="6" t="s">
        <v>88</v>
      </c>
      <c r="E37" s="6" t="s">
        <v>99</v>
      </c>
      <c r="F37" s="6" t="s">
        <v>90</v>
      </c>
      <c r="G37" s="6" t="s">
        <v>100</v>
      </c>
    </row>
    <row r="38" customHeight="1" spans="1:8">
      <c r="A38" s="6">
        <v>35</v>
      </c>
      <c r="B38" s="9"/>
      <c r="C38" s="12" t="s">
        <v>88</v>
      </c>
      <c r="D38" s="12" t="s">
        <v>93</v>
      </c>
      <c r="E38" s="12" t="s">
        <v>101</v>
      </c>
      <c r="F38" s="11" t="s">
        <v>90</v>
      </c>
      <c r="G38" s="12" t="s">
        <v>102</v>
      </c>
    </row>
    <row r="39" ht="54.85" customHeight="1" spans="1:8">
      <c r="A39" s="6">
        <v>36</v>
      </c>
      <c r="B39" s="9"/>
      <c r="C39" s="12" t="s">
        <v>88</v>
      </c>
      <c r="D39" s="12" t="s">
        <v>88</v>
      </c>
      <c r="E39" s="12" t="s">
        <v>103</v>
      </c>
      <c r="F39" s="11" t="s">
        <v>90</v>
      </c>
      <c r="G39" s="12" t="s">
        <v>104</v>
      </c>
      <c r="H39" s="14"/>
    </row>
    <row r="40" customHeight="1" spans="1:8">
      <c r="A40" s="6">
        <v>37</v>
      </c>
      <c r="B40" s="9"/>
      <c r="C40" s="6" t="s">
        <v>88</v>
      </c>
      <c r="D40" s="6" t="s">
        <v>88</v>
      </c>
      <c r="E40" s="6" t="s">
        <v>105</v>
      </c>
      <c r="F40" s="6" t="s">
        <v>90</v>
      </c>
      <c r="G40" s="6" t="s">
        <v>106</v>
      </c>
    </row>
    <row r="41" customHeight="1" spans="1:8">
      <c r="A41" s="6">
        <v>38</v>
      </c>
      <c r="B41" s="9" t="s">
        <v>290</v>
      </c>
      <c r="C41" s="6" t="s">
        <v>88</v>
      </c>
      <c r="D41" s="6" t="s">
        <v>88</v>
      </c>
      <c r="E41" s="6" t="s">
        <v>107</v>
      </c>
      <c r="F41" s="6" t="s">
        <v>90</v>
      </c>
      <c r="G41" s="6" t="s">
        <v>106</v>
      </c>
    </row>
    <row r="42" customHeight="1" spans="1:8">
      <c r="A42" s="6">
        <v>39</v>
      </c>
      <c r="B42" s="9"/>
      <c r="C42" s="6" t="s">
        <v>88</v>
      </c>
      <c r="D42" s="6" t="s">
        <v>88</v>
      </c>
      <c r="E42" s="6" t="s">
        <v>108</v>
      </c>
      <c r="F42" s="6" t="s">
        <v>90</v>
      </c>
      <c r="G42" s="6" t="s">
        <v>109</v>
      </c>
    </row>
    <row r="43" customHeight="1" spans="1:8">
      <c r="A43" s="6">
        <v>40</v>
      </c>
      <c r="B43" s="9"/>
      <c r="C43" s="6" t="s">
        <v>88</v>
      </c>
      <c r="D43" s="6" t="s">
        <v>88</v>
      </c>
      <c r="E43" s="6" t="s">
        <v>89</v>
      </c>
      <c r="F43" s="6" t="s">
        <v>90</v>
      </c>
      <c r="G43" s="6" t="s">
        <v>91</v>
      </c>
    </row>
    <row r="44" ht="56" customHeight="1" spans="1:8">
      <c r="A44" s="6">
        <v>41</v>
      </c>
      <c r="B44" s="9"/>
      <c r="C44" s="6" t="s">
        <v>112</v>
      </c>
      <c r="D44" s="6" t="s">
        <v>112</v>
      </c>
      <c r="E44" s="6" t="s">
        <v>113</v>
      </c>
      <c r="F44" s="6" t="s">
        <v>90</v>
      </c>
      <c r="G44" s="6" t="s">
        <v>114</v>
      </c>
    </row>
    <row r="45" spans="1:8">
      <c r="A45" s="6">
        <v>42</v>
      </c>
      <c r="B45" s="9"/>
      <c r="C45" s="6" t="s">
        <v>116</v>
      </c>
      <c r="D45" s="6" t="s">
        <v>116</v>
      </c>
      <c r="E45" s="6" t="s">
        <v>222</v>
      </c>
      <c r="F45" s="6" t="s">
        <v>90</v>
      </c>
      <c r="G45" s="6" t="s">
        <v>118</v>
      </c>
    </row>
    <row r="46" ht="61" customHeight="1" spans="1:8">
      <c r="A46" s="11">
        <v>43</v>
      </c>
      <c r="B46" s="9"/>
      <c r="C46" s="11" t="s">
        <v>93</v>
      </c>
      <c r="D46" s="11" t="s">
        <v>93</v>
      </c>
      <c r="E46" s="11" t="s">
        <v>120</v>
      </c>
      <c r="F46" s="11" t="s">
        <v>17</v>
      </c>
      <c r="G46" s="11" t="s">
        <v>121</v>
      </c>
    </row>
    <row r="47" customHeight="1" spans="1:8">
      <c r="A47" s="11">
        <v>44</v>
      </c>
      <c r="B47" s="9"/>
      <c r="C47" s="11" t="s">
        <v>93</v>
      </c>
      <c r="D47" s="11" t="s">
        <v>93</v>
      </c>
      <c r="E47" s="11" t="s">
        <v>123</v>
      </c>
      <c r="F47" s="11" t="s">
        <v>17</v>
      </c>
      <c r="G47" s="11" t="s">
        <v>124</v>
      </c>
    </row>
    <row r="48" customHeight="1" spans="1:8">
      <c r="A48" s="11">
        <v>45</v>
      </c>
      <c r="B48" s="9"/>
      <c r="C48" s="11" t="s">
        <v>93</v>
      </c>
      <c r="D48" s="11" t="s">
        <v>126</v>
      </c>
      <c r="E48" s="11" t="s">
        <v>127</v>
      </c>
      <c r="F48" s="11" t="s">
        <v>90</v>
      </c>
      <c r="G48" s="11" t="s">
        <v>128</v>
      </c>
    </row>
    <row r="49" ht="32.25" customHeight="1" spans="1:8">
      <c r="A49" s="11">
        <v>46</v>
      </c>
      <c r="B49" s="9"/>
      <c r="C49" s="11" t="s">
        <v>93</v>
      </c>
      <c r="D49" s="11" t="s">
        <v>93</v>
      </c>
      <c r="E49" s="11" t="s">
        <v>131</v>
      </c>
      <c r="F49" s="11" t="s">
        <v>90</v>
      </c>
      <c r="G49" s="11" t="s">
        <v>132</v>
      </c>
    </row>
    <row r="50" ht="22.5" customHeight="1" spans="1:8">
      <c r="A50" s="11">
        <v>47</v>
      </c>
      <c r="B50" s="9"/>
      <c r="C50" s="11" t="s">
        <v>93</v>
      </c>
      <c r="D50" s="11" t="s">
        <v>93</v>
      </c>
      <c r="E50" s="11" t="s">
        <v>133</v>
      </c>
      <c r="F50" s="11" t="s">
        <v>90</v>
      </c>
      <c r="G50" s="11" t="s">
        <v>134</v>
      </c>
    </row>
    <row r="51" ht="29" customHeight="1" spans="1:8">
      <c r="A51" s="11">
        <v>48</v>
      </c>
      <c r="B51" s="9"/>
      <c r="C51" s="11" t="s">
        <v>93</v>
      </c>
      <c r="D51" s="15" t="s">
        <v>93</v>
      </c>
      <c r="E51" s="6" t="s">
        <v>291</v>
      </c>
      <c r="F51" s="11" t="s">
        <v>17</v>
      </c>
      <c r="G51" s="11" t="s">
        <v>136</v>
      </c>
    </row>
    <row r="52" ht="22.5" customHeight="1" spans="1:8">
      <c r="A52" s="11">
        <v>49</v>
      </c>
      <c r="B52" s="9"/>
      <c r="C52" s="11" t="s">
        <v>93</v>
      </c>
      <c r="D52" s="11" t="s">
        <v>93</v>
      </c>
      <c r="E52" s="6" t="s">
        <v>228</v>
      </c>
      <c r="F52" s="11" t="s">
        <v>229</v>
      </c>
      <c r="G52" s="11" t="s">
        <v>136</v>
      </c>
    </row>
    <row r="53" s="1" customFormat="1" ht="54.9" customHeight="1" spans="1:8">
      <c r="A53" s="6">
        <v>50</v>
      </c>
      <c r="B53" s="9"/>
      <c r="C53" s="6" t="s">
        <v>138</v>
      </c>
      <c r="D53" s="6" t="s">
        <v>138</v>
      </c>
      <c r="E53" s="6" t="s">
        <v>139</v>
      </c>
      <c r="F53" s="6" t="s">
        <v>90</v>
      </c>
      <c r="G53" s="6" t="s">
        <v>140</v>
      </c>
    </row>
    <row r="54" ht="63" customHeight="1" spans="1:8">
      <c r="A54" s="6">
        <v>51</v>
      </c>
      <c r="B54" s="9"/>
      <c r="C54" s="6" t="s">
        <v>155</v>
      </c>
      <c r="D54" s="6" t="s">
        <v>292</v>
      </c>
      <c r="E54" s="6" t="s">
        <v>156</v>
      </c>
      <c r="F54" s="6" t="s">
        <v>90</v>
      </c>
      <c r="G54" s="6" t="s">
        <v>157</v>
      </c>
      <c r="H54" s="16"/>
    </row>
    <row r="55" ht="28" customHeight="1" spans="1:8">
      <c r="A55" s="6">
        <v>52</v>
      </c>
      <c r="B55" s="9"/>
      <c r="C55" s="6" t="s">
        <v>155</v>
      </c>
      <c r="D55" s="6" t="s">
        <v>155</v>
      </c>
      <c r="E55" s="6" t="s">
        <v>230</v>
      </c>
      <c r="F55" s="6" t="s">
        <v>231</v>
      </c>
      <c r="G55" s="6" t="s">
        <v>160</v>
      </c>
    </row>
    <row r="56" ht="76" customHeight="1" spans="1:8">
      <c r="A56" s="6">
        <v>53</v>
      </c>
      <c r="B56" s="9"/>
      <c r="C56" s="6" t="s">
        <v>155</v>
      </c>
      <c r="D56" s="6" t="s">
        <v>155</v>
      </c>
      <c r="E56" s="6" t="s">
        <v>162</v>
      </c>
      <c r="F56" s="6" t="s">
        <v>163</v>
      </c>
      <c r="G56" s="6" t="s">
        <v>164</v>
      </c>
    </row>
    <row r="57" ht="30.55" customHeight="1" spans="1:8">
      <c r="A57" s="6">
        <v>54</v>
      </c>
      <c r="B57" s="17" t="s">
        <v>293</v>
      </c>
      <c r="C57" s="6" t="s">
        <v>169</v>
      </c>
      <c r="D57" s="6" t="s">
        <v>169</v>
      </c>
      <c r="E57" s="6" t="s">
        <v>170</v>
      </c>
      <c r="F57" s="6" t="s">
        <v>17</v>
      </c>
      <c r="G57" s="6" t="s">
        <v>171</v>
      </c>
    </row>
    <row r="58" ht="29.25" customHeight="1" spans="1:8">
      <c r="A58" s="6">
        <v>55</v>
      </c>
      <c r="B58" s="17"/>
      <c r="C58" s="12" t="s">
        <v>237</v>
      </c>
      <c r="D58" s="12" t="s">
        <v>26</v>
      </c>
      <c r="E58" s="6" t="s">
        <v>50</v>
      </c>
      <c r="F58" s="6" t="s">
        <v>17</v>
      </c>
      <c r="G58" s="6" t="s">
        <v>51</v>
      </c>
    </row>
    <row r="59" ht="35.25" customHeight="1" spans="1:8">
      <c r="A59" s="6">
        <v>56</v>
      </c>
      <c r="B59" s="18" t="s">
        <v>293</v>
      </c>
      <c r="C59" s="12" t="s">
        <v>237</v>
      </c>
      <c r="D59" s="12" t="s">
        <v>237</v>
      </c>
      <c r="E59" s="6" t="s">
        <v>238</v>
      </c>
      <c r="F59" s="6" t="s">
        <v>90</v>
      </c>
      <c r="G59" s="6" t="s">
        <v>294</v>
      </c>
    </row>
    <row r="60" ht="37" customHeight="1" spans="1:8">
      <c r="A60" s="11">
        <v>57</v>
      </c>
      <c r="B60" s="19" t="s">
        <v>295</v>
      </c>
      <c r="C60" s="11" t="s">
        <v>179</v>
      </c>
      <c r="D60" s="11" t="s">
        <v>251</v>
      </c>
      <c r="E60" s="6" t="s">
        <v>181</v>
      </c>
      <c r="F60" s="11" t="s">
        <v>182</v>
      </c>
      <c r="G60" s="11" t="s">
        <v>296</v>
      </c>
    </row>
    <row r="61" ht="38.25" customHeight="1" spans="1:8">
      <c r="A61" s="11">
        <v>58</v>
      </c>
      <c r="B61" s="20"/>
      <c r="C61" s="11" t="s">
        <v>175</v>
      </c>
      <c r="D61" s="11" t="s">
        <v>251</v>
      </c>
      <c r="E61" s="6" t="s">
        <v>185</v>
      </c>
      <c r="F61" s="11" t="s">
        <v>182</v>
      </c>
      <c r="G61" s="11" t="s">
        <v>186</v>
      </c>
    </row>
    <row r="62" ht="39.75" customHeight="1" spans="1:8">
      <c r="A62" s="11">
        <v>59</v>
      </c>
      <c r="B62" s="20"/>
      <c r="C62" s="11" t="s">
        <v>175</v>
      </c>
      <c r="D62" s="11" t="s">
        <v>251</v>
      </c>
      <c r="E62" s="6" t="s">
        <v>188</v>
      </c>
      <c r="F62" s="11" t="s">
        <v>189</v>
      </c>
      <c r="G62" s="11" t="s">
        <v>190</v>
      </c>
    </row>
    <row r="63" ht="28.5" customHeight="1" spans="1:8">
      <c r="A63" s="11">
        <v>60</v>
      </c>
      <c r="B63" s="20"/>
      <c r="C63" s="11" t="s">
        <v>195</v>
      </c>
      <c r="D63" s="11" t="s">
        <v>192</v>
      </c>
      <c r="E63" s="6" t="s">
        <v>196</v>
      </c>
      <c r="F63" s="11" t="s">
        <v>197</v>
      </c>
      <c r="G63" s="11" t="s">
        <v>190</v>
      </c>
    </row>
    <row r="64" ht="31.5" customHeight="1" spans="1:8">
      <c r="A64" s="11">
        <v>61</v>
      </c>
      <c r="B64" s="20"/>
      <c r="C64" s="11" t="s">
        <v>195</v>
      </c>
      <c r="D64" s="11" t="s">
        <v>251</v>
      </c>
      <c r="E64" s="6" t="s">
        <v>297</v>
      </c>
      <c r="F64" s="11" t="s">
        <v>17</v>
      </c>
      <c r="G64" s="11" t="s">
        <v>190</v>
      </c>
    </row>
    <row r="65" ht="31.5" customHeight="1" spans="1:7">
      <c r="A65" s="11">
        <v>62</v>
      </c>
      <c r="B65" s="20"/>
      <c r="C65" s="11" t="s">
        <v>298</v>
      </c>
      <c r="D65" s="11" t="s">
        <v>299</v>
      </c>
      <c r="E65" s="6" t="s">
        <v>300</v>
      </c>
      <c r="F65" s="11" t="s">
        <v>17</v>
      </c>
      <c r="G65" s="11" t="s">
        <v>177</v>
      </c>
    </row>
    <row r="66" ht="57" customHeight="1" spans="1:7">
      <c r="A66" s="11">
        <v>63</v>
      </c>
      <c r="B66" s="21" t="s">
        <v>301</v>
      </c>
      <c r="C66" s="11" t="s">
        <v>240</v>
      </c>
      <c r="D66" s="11" t="s">
        <v>240</v>
      </c>
      <c r="E66" s="6" t="s">
        <v>302</v>
      </c>
      <c r="F66" s="12" t="s">
        <v>90</v>
      </c>
      <c r="G66" s="11" t="s">
        <v>303</v>
      </c>
    </row>
  </sheetData>
  <sheetProtection formatCells="0" formatColumns="0" formatRows="0" insertRows="0" insertColumns="0" insertHyperlinks="0" deleteColumns="0" deleteRows="0" sort="0" autoFilter="0" pivotTables="0"/>
  <autoFilter xmlns:etc="http://www.wps.cn/officeDocument/2017/etCustomData" ref="A3:G66" etc:filterBottomFollowUsedRange="1">
    <extLst/>
  </autoFilter>
  <mergeCells count="9">
    <mergeCell ref="A1:G1"/>
    <mergeCell ref="A2:G2"/>
    <mergeCell ref="B4:B5"/>
    <mergeCell ref="B6:B23"/>
    <mergeCell ref="B24:B34"/>
    <mergeCell ref="B35:B40"/>
    <mergeCell ref="B41:B56"/>
    <mergeCell ref="B57:B58"/>
    <mergeCell ref="B60:B65"/>
  </mergeCells>
  <printOptions horizontalCentered="1"/>
  <pageMargins left="0.590277777777778" right="0.590277777777778" top="0.590277777777778" bottom="0.590277777777778" header="0.297916666666667" footer="0.297916666666667"/>
  <pageSetup paperSize="8" scale="87" fitToHeight="0" orientation="landscape" horizontalDpi="600"/>
  <headerFooter>
    <oddFooter>&amp;C第 &amp;P 页，共 &amp;N 页</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2" master="" otherUserPermission="visible"/>
  <rangeList sheetStid="6" master="" otherUserPermission="visible"/>
  <rangeList sheetStid="8" master="1568429105" otherUserPermission="visible"/>
</allowEditUser>
</file>

<file path=customXml/item2.xml>��
</file>

<file path=customXml/item3.xml>��
</file>

<file path=customXml/item4.xml>��/n:S�l0NlQ�SOO�[�R��[CQ^:W/n:S�l0NlQ�S�e�XD��NH���Q:
;`�^Q{b��ypenc/f&T	g�
</file>

<file path=customXml/item5.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customXml/itemProps5.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3</vt:i4>
      </vt:variant>
    </vt:vector>
  </HeadingPairs>
  <TitlesOfParts>
    <vt:vector size="3" baseType="lpstr">
      <vt:lpstr>开发经营性资产档案</vt:lpstr>
      <vt:lpstr>开发经营性资产档案 (2)</vt:lpstr>
      <vt:lpstr>25-26年经营性房产汇总表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宁</cp:lastModifiedBy>
  <dcterms:created xsi:type="dcterms:W3CDTF">2025-10-21T11:48:00Z</dcterms:created>
  <dcterms:modified xsi:type="dcterms:W3CDTF">2026-08-10T06:37:17Z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7188B0C3CEC94DB3AE0F4294CF638087_13</vt:lpwstr>
  </property>
  <property fmtid="{D5CDD505-2E9C-101B-9397-08002B2CF9AE}" pid="3" name="KSOProductBuildVer">
    <vt:lpwstr>2052-12.1.0.28043</vt:lpwstr>
  </property>
  <property fmtid="{D5CDD505-2E9C-101B-9397-08002B2CF9AE}" pid="4" name="CalculationRule">
    <vt:i4>0</vt:i4>
  </property>
</Properties>
</file>